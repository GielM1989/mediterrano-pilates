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zicht" sheetId="1" state="visible" r:id="rId3"/>
    <sheet name="Scoringstabel" sheetId="2" state="visible" r:id="rId4"/>
    <sheet name="Landanalyse" sheetId="3" state="visible" r:id="rId5"/>
    <sheet name="Margetabel" sheetId="4" state="visible" r:id="rId6"/>
    <sheet name="Actieplan" sheetId="5" state="visible" r:id="rId7"/>
    <sheet name="Automatisering" sheetId="6" state="visible" r:id="rId8"/>
    <sheet name="Juridisch outreach" sheetId="7" state="visible" r:id="rId9"/>
    <sheet name="Promptset" sheetId="8" state="visible" r:id="rId10"/>
    <sheet name="Meetlog" sheetId="9" state="visible" r:id="rId11"/>
    <sheet name="Bronnen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<sst xmlns="http://schemas.openxmlformats.org/spreadsheetml/2006/main" count="1011" uniqueCount="676">
  <si>
    <t xml:space="preserve">Mediterrano Pilates · Europese expansie PT/FR/IT · onderzoek en 90-dagenplan · 2 oktober 2026</t>
  </si>
  <si>
    <t xml:space="preserve">Advies</t>
  </si>
  <si>
    <t xml:space="preserve">Focus de komende 90 dagen op Portugal (week 1-3, snelste eerste klant), Frankrijk (week 2-6, grootste bereikbare markt) en Italië (week 4-8, onderschat). Wallonië en Brussel gratis mee via de Franse pagina's. Duitsland, VK, Nederland, Oostenrijk, Polen en Turkije nu niet.</t>
  </si>
  <si>
    <t xml:space="preserve">Waarom</t>
  </si>
  <si>
    <t xml:space="preserve">Drie dingen samen: veel studio's, geen gespecialiseerde concurrent in de eigen taal, en AI-assistenten die bronnen in die taal gebruiken. Portugal is de enige bijna-kopie van Spanje; Frankrijk heeft de omvang maar twee kleine specialisten; Italië heeft één fitness-brede specialist en een AI-gebruik dat in één jaar verdubbelde.</t>
  </si>
  <si>
    <t xml:space="preserve">Tabbladen</t>
  </si>
  <si>
    <t xml:space="preserve">Scoringstabel (scores aanpasbaar, score rekent zelf) · Landanalyse (bevindingen en bronnen per land) · Margetabel (formules, prijzen en btw aanpasbaar) · Actieplan (nummers sluiten aan op ClickUp, statuskolommen voor jou) · Automatisering · Juridisch outreach · Promptset (10 prompts per focusland voor de AI-tracker) · Meetlog (leeg, invullen per meting) · Bronnen (100).</t>
  </si>
  <si>
    <t xml:space="preserve">Legenda</t>
  </si>
  <si>
    <t xml:space="preserve">Gele cellen zijn invoer: pas ze aan, formules rekenen door. Blauwe tekst = hardcoded invoer in een rekenblad. 'Wie': Claude = ik bouw of schrijf het zonder verdere input; jij = accounts, platforms, contacten, geld; samen = jij levert input of een korte review; tool = loopt daarna automatisch.</t>
  </si>
  <si>
    <t xml:space="preserve">Wat ontbreekt</t>
  </si>
  <si>
    <t xml:space="preserve">Geen live AI-prompts gedraaid en geen zoekvolumes gemeten: beide horen in de eerste meetweek (tabbladen Promptset en Meetlog). Studioaantallen voor PT, IT, BE, Nordics, CZ en GR zijn zwak of ontbreken. Toolprijzen zijn peildatum 2-10-2026.</t>
  </si>
  <si>
    <t xml:space="preserve">Harde regel</t>
  </si>
  <si>
    <t xml:space="preserve">Niets uit dit bestand is een eigen meting of staat in merk-en-feiten: intern marktonderzoek, geen materiaal voor claims op de site. Geen testimonials, klantaantallen of gekochte reviews.</t>
  </si>
  <si>
    <t xml:space="preserve">Bijbehorend</t>
  </si>
  <si>
    <t xml:space="preserve">PDF: Mediterrano_Europese_expansie_PT-FR-IT_onderzoek_en_plan_2026-10-02.pdf (19 pagina's, met de volledige landanalyse en bronnen).</t>
  </si>
  <si>
    <t xml:space="preserve">Scoringstabel: snelle organische winkans (score = studio's × nichevrijheid × AI/taal × frictie, max 625)</t>
  </si>
  <si>
    <t xml:space="preserve">Gele cellen (B:E) zijn eigen inschattingen van 1 (zwak) tot 5 (sterk); pas ze aan en de score in F rekent door. Een * in kolom H betekent: niet of nauwelijks onderzocht, neutrale 3 aangenomen. Kolom I is de ranking van 1 oktober (/25). Spanje staat erin als referentie. Sorteer op F om de ranglijst te zien.</t>
  </si>
  <si>
    <t xml:space="preserve">Land</t>
  </si>
  <si>
    <t xml:space="preserve">Studio's (1-5)</t>
  </si>
  <si>
    <t xml:space="preserve">Nichevrijheid (1-5)</t>
  </si>
  <si>
    <t xml:space="preserve">AI/taal eigen taal (1-5)</t>
  </si>
  <si>
    <t xml:space="preserve">Lage frictie (1-5)</t>
  </si>
  <si>
    <t xml:space="preserve">Score</t>
  </si>
  <si>
    <t xml:space="preserve">Oordeel</t>
  </si>
  <si>
    <t xml:space="preserve">Niet onderzocht (*)</t>
  </si>
  <si>
    <t xml:space="preserve">Ranking 1 okt (/25)</t>
  </si>
  <si>
    <t xml:space="preserve">Toelichting</t>
  </si>
  <si>
    <t xml:space="preserve">Spanje (referentie)</t>
  </si>
  <si>
    <t xml:space="preserve">bewezen</t>
  </si>
  <si>
    <t xml:space="preserve">Alle leads tot nu toe; merk al in Spaanse AI-antwoorden; alleen generieke promotiedrukkers als concurrent.</t>
  </si>
  <si>
    <t xml:space="preserve">Frankrijk</t>
  </si>
  <si>
    <t xml:space="preserve">FOCUS</t>
  </si>
  <si>
    <t xml:space="preserve">&gt;1.200 studio's (L'Express Franchise 2026); twee kleine specialisten (chaussettes-pilates.fr, Pylates.studio); EF-index plaats 38, dus Frans zoekgedrag.</t>
  </si>
  <si>
    <t xml:space="preserve">Italië</t>
  </si>
  <si>
    <t xml:space="preserve">FOCUS (omhoog)</t>
  </si>
  <si>
    <t xml:space="preserve">Geen telling, waarschijnlijk duizenden; één fitness-brede specialist (Pgoplay); AI-gebruik 19,9% (Eurostat) maar ChatGPT 23,6% van 18-74 en verdubbeld in één jaar.</t>
  </si>
  <si>
    <t xml:space="preserve">Portugal</t>
  </si>
  <si>
    <t xml:space="preserve">FOCUS (snelste)</t>
  </si>
  <si>
    <t xml:space="preserve">100-200 studio's incl. yoga/barre (eigen schatting); geen Europees-Portugese specialist; al 1 lead; EF plaats 6, dus Engelse concurrenten bereikbaar.</t>
  </si>
  <si>
    <t xml:space="preserve">België</t>
  </si>
  <si>
    <t xml:space="preserve">meenemen via FR</t>
  </si>
  <si>
    <t xml:space="preserve">Geen telling; Club Pilates-masterfranchise (≥36 studio's in 10 jaar); Wallonië/Brussel via /fr/, Vlaanderen deelt de NL-concurrentie.</t>
  </si>
  <si>
    <t xml:space="preserve">Griekenland</t>
  </si>
  <si>
    <t xml:space="preserve">test 2027</t>
  </si>
  <si>
    <t xml:space="preserve">*</t>
  </si>
  <si>
    <t xml:space="preserve">44,1% AI-gebruik; kleine taal; studio's en concurrentie niet onderzocht.</t>
  </si>
  <si>
    <t xml:space="preserve">Duitsland</t>
  </si>
  <si>
    <t xml:space="preserve">niet (omlaag)</t>
  </si>
  <si>
    <t xml:space="preserve">1.200-1.800 studio's, maar niche vol (Refinesocks, Sokkies, Occulto, Spreeprint, Socken-Haus, Snocks).</t>
  </si>
  <si>
    <t xml:space="preserve">Zweden</t>
  </si>
  <si>
    <t xml:space="preserve">later via EN</t>
  </si>
  <si>
    <t xml:space="preserve">Alleen retail gevonden in één zoekopdracht; EF plaats 8; studio's onbekend.</t>
  </si>
  <si>
    <t xml:space="preserve">Denemarken</t>
  </si>
  <si>
    <t xml:space="preserve">48,4% AI-gebruik; EF plaats 7; studio's onbekend.</t>
  </si>
  <si>
    <t xml:space="preserve">Nederland</t>
  </si>
  <si>
    <t xml:space="preserve">niet</t>
  </si>
  <si>
    <t xml:space="preserve">800+ studio's (Pilates Vandaag), maar 7 aanbieders; 44,7% AI-gebruik; EF plaats 1.</t>
  </si>
  <si>
    <t xml:space="preserve">Polen</t>
  </si>
  <si>
    <t xml:space="preserve">Specialisten Pilatesiara en aimhigh.pl; 23% AI-gebruik (DESI 2026); zloty.</t>
  </si>
  <si>
    <t xml:space="preserve">Zwitserland</t>
  </si>
  <si>
    <t xml:space="preserve">meelift DE/FR</t>
  </si>
  <si>
    <t xml:space="preserve">47% AI-gebruik; 8,1% invoer-btw; geen telling.</t>
  </si>
  <si>
    <t xml:space="preserve">Tsjechië</t>
  </si>
  <si>
    <t xml:space="preserve">geen data</t>
  </si>
  <si>
    <t xml:space="preserve">Niets gevonden.</t>
  </si>
  <si>
    <t xml:space="preserve">Finland</t>
  </si>
  <si>
    <t xml:space="preserve">46,3% AI-gebruik; EF plaats 12; studio's onbekend.</t>
  </si>
  <si>
    <t xml:space="preserve">Ierland</t>
  </si>
  <si>
    <t xml:space="preserve">Engelstalige overvolle niche; 44,9% AI-gebruik; geen telling.</t>
  </si>
  <si>
    <t xml:space="preserve">Noorwegen</t>
  </si>
  <si>
    <t xml:space="preserve">56% AI-gebruik, EF plaats 5, maar buiten de EU (douane).</t>
  </si>
  <si>
    <t xml:space="preserve">Oostenrijk</t>
  </si>
  <si>
    <t xml:space="preserve">Duitstalige overvolle niche; EF plaats 3; geen telling.</t>
  </si>
  <si>
    <t xml:space="preserve">Verenigd Koninkrijk</t>
  </si>
  <si>
    <t xml:space="preserve">niet (pas na DDP)</t>
  </si>
  <si>
    <t xml:space="preserve">1.981 studio's (pilatesstudios.uk, mei 2026); drukste Engelstalige niche; douane, DDP nodig.</t>
  </si>
  <si>
    <t xml:space="preserve">Turkije</t>
  </si>
  <si>
    <t xml:space="preserve">94% Engelse fan-out (Peec AI); douane.</t>
  </si>
  <si>
    <t xml:space="preserve">Maximale score</t>
  </si>
  <si>
    <t xml:space="preserve">Methode: eigen inschatting per dimensie op basis van de bronnen in de tabbladen Landanalyse en Bronnen. Geen gewogen formule; het product straft één zwakke dimensie zwaar af, en dat is bewust: één blokkade (volle niche, douane) maakt snelle organische winst onwaarschijnlijk.</t>
  </si>
  <si>
    <t xml:space="preserve">Landanalyse: bevindingen per land, met betrouwbaarheid en bronnen</t>
  </si>
  <si>
    <t xml:space="preserve">Feiten en schattingen zijn gescheiden in de kolom Betrouwbaarheid. Studioaantallen komen uit adresdatabases, directories en softwareblogs en verschillen onderling sterk; waar mogelijk staat een range. Bronnummers verwijzen naar het tabblad Bronnen.</t>
  </si>
  <si>
    <t xml:space="preserve">Studio's (telling of schatting)</t>
  </si>
  <si>
    <t xml:space="preserve">Betrouwbaarheid</t>
  </si>
  <si>
    <t xml:space="preserve">Niche: concurrenten in eigen taal</t>
  </si>
  <si>
    <t xml:space="preserve">AI-gebruik 2025 (Eurostat, 16-74)</t>
  </si>
  <si>
    <t xml:space="preserve">EF EPI 2025</t>
  </si>
  <si>
    <t xml:space="preserve">Frictie</t>
  </si>
  <si>
    <t xml:space="preserve">Bronnen (#)</t>
  </si>
  <si>
    <t xml:space="preserve">Geen nationale telling. myselfstudio.pt: 80-150 pilates/yoga-studio's (kwalitatief). kitsunepass: ca. 38 reformerstudio's in Lissabon (2026; ca. 8 in 2020), ca. 14 in Porto. Pylates.studio: 19 in Lissabon. Ketens: Prescription Pilates (5), Balance Pilates (5), The Pilates Studio Portugal (7), Club Pilates (masterfranchise ≥20 in 10 jaar). Eigen schatting: 100-200 incl. yoga/barre.</t>
  </si>
  <si>
    <t xml:space="preserve">laag-middel</t>
  </si>
  <si>
    <t xml:space="preserve">Open. Alleen Braziliaans (Brindice, Cotton Sock, Mercado Livre, Pure Pilates), Chinees (iCompressionSocks, Yipin), Etsy, retail (Oysho). Risico: AI noemt Braziliaanse leveranciers bij Portugese vragen.</t>
  </si>
  <si>
    <t xml:space="preserve">38,7%</t>
  </si>
  <si>
    <t xml:space="preserve">6e (612, very high)</t>
  </si>
  <si>
    <t xml:space="preserve">Minimaal: EU, euro, buurland, al 1 lead</t>
  </si>
  <si>
    <t xml:space="preserve">FOCUS, week 1-3</t>
  </si>
  <si>
    <t xml:space="preserve">1, 11-18, 30-35, 70</t>
  </si>
  <si>
    <t xml:space="preserve">&gt;1.200 studio's (L'Express Franchise 2026), &lt;700 vijf jaar geleden. Club Pilates: 16e studio sept. 2026, doel &gt;50 eind 2027; eerdere doelstelling 30-35 eind 2026 wordt niet gehaald.</t>
  </si>
  <si>
    <t xml:space="preserve">middel</t>
  </si>
  <si>
    <t xml:space="preserve">Twee kleine specialisten: chaussettes-pilates.fr (B2B, doorverkoop 8-18 €, '&gt;60% marge'), Pylates.studio (SEO-contentsite). Etsy-verkopers vanaf ca. 2,69 €/paar.</t>
  </si>
  <si>
    <t xml:space="preserve">37,5%</t>
  </si>
  <si>
    <t xml:space="preserve">38e (539, moderate)</t>
  </si>
  <si>
    <t xml:space="preserve">Geen</t>
  </si>
  <si>
    <t xml:space="preserve">FOCUS, week 2-6</t>
  </si>
  <si>
    <t xml:space="preserve">19-22, 28-29, 37-38, 71-72</t>
  </si>
  <si>
    <t xml:space="preserve">Geen telling. APPI/Format Research: 77,9% van docenten werkt in pilatesstudio's. Businessplan-gids: 8-10 studio's per middelgrote stad. ATECO-code voor pilatesstudio's sinds 2025 maakt telling later mogelijk. Waarschijnlijk duizenden, onbewezen.</t>
  </si>
  <si>
    <t xml:space="preserve">laag</t>
  </si>
  <si>
    <t xml:space="preserve">Half open. Pgoplay (fitness-breed: palestre, yoga, pilates, fisioterapia). Generiek: Gadget.it, Axon Profil. Chinees: iCompressionSocks. Faire (Paddi Studio MOQ 30), Etsy, Snocks (retail).</t>
  </si>
  <si>
    <t xml:space="preserve">19,9% (ChatGPT 23,6% van 18-74, Audiweb dec. 2025; AI-apps verdubbeld in 2025)</t>
  </si>
  <si>
    <t xml:space="preserve">moderate (513)</t>
  </si>
  <si>
    <t xml:space="preserve">FOCUS, week 4-8</t>
  </si>
  <si>
    <t xml:space="preserve">2-3, 25-26, 40-47, 62, 73-78</t>
  </si>
  <si>
    <t xml:space="preserve">1.237 (Listflix-statistiek), 1.279 (adressbar.de), 1.576 (firmenliste.info), 1.671 (firmenliste.net), 1.858 (Listflix-dienst); Bookicorn 1.100-1.600. Realistisch 1.200-1.800. Club Pilates doel ≥150, geen deadline.</t>
  </si>
  <si>
    <t xml:space="preserve">Vol: Refinesocks, Sokkies, Occulto, Spreeprint, Socken-Haus; Snocks (DTC, 'mit Logo' in 6+ talen).</t>
  </si>
  <si>
    <t xml:space="preserve">32,3%</t>
  </si>
  <si>
    <t xml:space="preserve">4e (615)</t>
  </si>
  <si>
    <t xml:space="preserve">Geen, maar 49% noemt 'geen behoefte' aan AI</t>
  </si>
  <si>
    <t xml:space="preserve">Niet: onderhoud /de/</t>
  </si>
  <si>
    <t xml:space="preserve">5-6, 27, 49-54</t>
  </si>
  <si>
    <t xml:space="preserve">1.981 geverifieerde studio's (pilatesstudios.uk, mei 2026). '+948% reformerbedrijven' niet herleidbaar tot primaire bron.</t>
  </si>
  <si>
    <t xml:space="preserve">Overvol Engelstalig (PilatesGoods, Makers Garments, Made by Cooper, hipSwan, Studio Grip Socks, Sockrates, Deadsoxy, Etsy/Faire/Alibaba).</t>
  </si>
  <si>
    <t xml:space="preserve">n.v.t.</t>
  </si>
  <si>
    <t xml:space="preserve">hoog</t>
  </si>
  <si>
    <t xml:space="preserve">Hoog: douane, DDP nodig</t>
  </si>
  <si>
    <t xml:space="preserve">Niet, pas na DDP</t>
  </si>
  <si>
    <t xml:space="preserve">7, 56-57</t>
  </si>
  <si>
    <t xml:space="preserve">800+ (Pilates Vandaag). ANP: boutique-studio's voeren al eigen merchandise.</t>
  </si>
  <si>
    <t xml:space="preserve">7 aanbieders: KORRHAUS, PLTÉ, RoHil, MijnEigenSokken, Sokkies, Promobee, Tiger Concept.</t>
  </si>
  <si>
    <t xml:space="preserve">44,7%</t>
  </si>
  <si>
    <t xml:space="preserve">1e</t>
  </si>
  <si>
    <t xml:space="preserve">Niet</t>
  </si>
  <si>
    <t xml:space="preserve">8, 58</t>
  </si>
  <si>
    <t xml:space="preserve">Geen telling. Club Pilates-masterfranchise BE/LU/MC: ≥36 studio's in 10 jaar.</t>
  </si>
  <si>
    <t xml:space="preserve">Vlaanderen deelt NL-concurrentie; Wallonië niet apart onderzocht.</t>
  </si>
  <si>
    <t xml:space="preserve">42,0%</t>
  </si>
  <si>
    <t xml:space="preserve">Meenemen via /fr/</t>
  </si>
  <si>
    <t xml:space="preserve">59-60</t>
  </si>
  <si>
    <t xml:space="preserve">Geen telling.</t>
  </si>
  <si>
    <t xml:space="preserve">Pilatesiara (gripsokken voor pilates/yoga/barre), aimhigh.pl (wholesale-configurator), BAS Kreacja (generiek).</t>
  </si>
  <si>
    <t xml:space="preserve">23% (DESI 2026)</t>
  </si>
  <si>
    <t xml:space="preserve">moderate</t>
  </si>
  <si>
    <t xml:space="preserve">Zloty</t>
  </si>
  <si>
    <t xml:space="preserve">4, 9-10, 61</t>
  </si>
  <si>
    <t xml:space="preserve">Onbekend.</t>
  </si>
  <si>
    <t xml:space="preserve">Eén zoekopdracht: alleen retail (Amazon.se, H&amp;M, Flexorex, ReformHer). Geen specialist gezien, lage betrouwbaarheid.</t>
  </si>
  <si>
    <t xml:space="preserve">8e</t>
  </si>
  <si>
    <t xml:space="preserve">Later via EN</t>
  </si>
  <si>
    <t xml:space="preserve">63-66</t>
  </si>
  <si>
    <t xml:space="preserve">Niet onderzocht.</t>
  </si>
  <si>
    <t xml:space="preserve">48,4%</t>
  </si>
  <si>
    <t xml:space="preserve">7e</t>
  </si>
  <si>
    <t xml:space="preserve">67-69</t>
  </si>
  <si>
    <t xml:space="preserve">56%</t>
  </si>
  <si>
    <t xml:space="preserve">5e</t>
  </si>
  <si>
    <t xml:space="preserve">Buiten de EU (douane)</t>
  </si>
  <si>
    <t xml:space="preserve">46,3%</t>
  </si>
  <si>
    <t xml:space="preserve">12e</t>
  </si>
  <si>
    <t xml:space="preserve">Niet apart onderzocht.</t>
  </si>
  <si>
    <t xml:space="preserve">47%</t>
  </si>
  <si>
    <t xml:space="preserve">8,1% invoer-btw, geen douanerecht</t>
  </si>
  <si>
    <t xml:space="preserve">Meelift DE/FR, later</t>
  </si>
  <si>
    <t xml:space="preserve">Duitstalige overvolle niche.</t>
  </si>
  <si>
    <t xml:space="preserve">3e</t>
  </si>
  <si>
    <t xml:space="preserve">–</t>
  </si>
  <si>
    <t xml:space="preserve">Engelstalige overvolle niche.</t>
  </si>
  <si>
    <t xml:space="preserve">44,9%</t>
  </si>
  <si>
    <t xml:space="preserve">Niet onderzocht. Kleine taal: native content wordt snel gezien.</t>
  </si>
  <si>
    <t xml:space="preserve">44,1% (EU-top 10)</t>
  </si>
  <si>
    <t xml:space="preserve">Wildcard, test Q2 2027</t>
  </si>
  <si>
    <t xml:space="preserve">Geen data.</t>
  </si>
  <si>
    <t xml:space="preserve">Kroon</t>
  </si>
  <si>
    <t xml:space="preserve">Douane; 94% Engelse fan-out (Peec AI)</t>
  </si>
  <si>
    <t xml:space="preserve">23</t>
  </si>
  <si>
    <t xml:space="preserve">Brazilië (buiten Europa)</t>
  </si>
  <si>
    <t xml:space="preserve">Veel aanbieders, ketens met eigen logosokken (Pure Pilates).</t>
  </si>
  <si>
    <t xml:space="preserve">Al bediend (Brindice, Cotton Sock, Mercado Livre).</t>
  </si>
  <si>
    <t xml:space="preserve">Invoerheffingen</t>
  </si>
  <si>
    <t xml:space="preserve">Niet; wel concurrent in Portugese AI-antwoorden</t>
  </si>
  <si>
    <t xml:space="preserve">11-17</t>
  </si>
  <si>
    <t xml:space="preserve">Margetabel per land: wat verdient een studio aan 50 paar (citeerbaar feit voor elke taalsectie)</t>
  </si>
  <si>
    <t xml:space="preserve">Gele cellen zijn invoer. Inkoop en adviesverkoopprijzen komen uit merk-en-feiten (stand 2-10-2026: inkoop 7,50 € ex btw; advies 17,95-19,95 € incl. btw). Btw-tarieven zijn de standaardtarieven per land. Marge per paar = verkoopprijs / (1 + btw) − inkoop. Controleer de btw-tarieven bij je gestor vóór publicatie.</t>
  </si>
  <si>
    <t xml:space="preserve">Inkoopprijs per paar (ex btw, €)</t>
  </si>
  <si>
    <t xml:space="preserve">Adviesverkoopprijs laag (incl. btw, €)</t>
  </si>
  <si>
    <t xml:space="preserve">Adviesverkoopprijs hoog (incl. btw, €)</t>
  </si>
  <si>
    <t xml:space="preserve">Paren per bestelling (MOQ)</t>
  </si>
  <si>
    <t xml:space="preserve">Btw-tarief</t>
  </si>
  <si>
    <t xml:space="preserve">Netto verkoop laag (ex btw)</t>
  </si>
  <si>
    <t xml:space="preserve">Netto verkoop hoog (ex btw)</t>
  </si>
  <si>
    <t xml:space="preserve">Marge per paar laag</t>
  </si>
  <si>
    <t xml:space="preserve">Marge per paar hoog</t>
  </si>
  <si>
    <t xml:space="preserve">Marge per bestelling laag</t>
  </si>
  <si>
    <t xml:space="preserve">Marge per bestelling hoog</t>
  </si>
  <si>
    <t xml:space="preserve">Marge % laag (op netto verkoop)</t>
  </si>
  <si>
    <t xml:space="preserve">Spanje</t>
  </si>
  <si>
    <t xml:space="preserve">Controle (rapport, 2-10-2026): Portugal ≈ 355-436 €, Frankrijk ≈ 373-456 €, Italië ≈ 361-443 € per bestelling van 50 paar. Afwijkingen van enkele centen zijn afrondingsverschillen.</t>
  </si>
  <si>
    <t xml:space="preserve">Bron btw-tarieven: standaardtarieven zoals in het onderzoeksrapport gebruikt (PT 23%, FR 20%, IT 22%); ES 21% uit merk-en-feiten; BE 21% en DE 19% toegevoegd als referentie, door de klant te bevestigen.</t>
  </si>
  <si>
    <t xml:space="preserve">Actieplan: Portugal, Frankrijk, Italië en doorlopende automatisering (nummers sluiten aan op ClickUp-lijst '4. Website, SEO &amp; AIO')</t>
  </si>
  <si>
    <t xml:space="preserve">Gele cellen vul jij in (Status, Afgerond op, Notities). Bestaande ClickUp-nummers behouden hun nummer (16, 22, 23, 36, 40); nieuwe taken beginnen bij 44. Uren zijn jouw uren; Claude-werk telt niet mee. Impact = verwachte invloed op aanvragen (H/M/L). Start- en einddata zijn kalenderweken vanaf 5 oktober 2026.</t>
  </si>
  <si>
    <t xml:space="preserve">#</t>
  </si>
  <si>
    <t xml:space="preserve">Week</t>
  </si>
  <si>
    <t xml:space="preserve">Actie</t>
  </si>
  <si>
    <t xml:space="preserve">Wie</t>
  </si>
  <si>
    <t xml:space="preserve">Uren (jij)</t>
  </si>
  <si>
    <t xml:space="preserve">Impact</t>
  </si>
  <si>
    <t xml:space="preserve">Start</t>
  </si>
  <si>
    <t xml:space="preserve">Deadline</t>
  </si>
  <si>
    <t xml:space="preserve">Status</t>
  </si>
  <si>
    <t xml:space="preserve">Afgerond op</t>
  </si>
  <si>
    <t xml:space="preserve">Notities</t>
  </si>
  <si>
    <t xml:space="preserve">Herkomst</t>
  </si>
  <si>
    <t xml:space="preserve">PT</t>
  </si>
  <si>
    <t xml:space="preserve">Wk 1-3</t>
  </si>
  <si>
    <t xml:space="preserve">/pt/-sectie bouwen in Europees Portugees (pt-PT): productpagina gripsokken, prijzen en marges (met margetabel), FAQ (MOQ, 4 weken, mockup 24 u, IVA-factuur, intracommunautaire levering), hoe het werkt, over ons (Ecomtierra Group SL, EU-levering), twee artikelen (welkomstpakket, extra omzet). Regel 'fornecedor europeu (Espanha), não brasileiro'. Native check aanbevolen.</t>
  </si>
  <si>
    <t xml:space="preserve">Claude</t>
  </si>
  <si>
    <t xml:space="preserve">H</t>
  </si>
  <si>
    <t xml:space="preserve">bestaand (ClickUp 23), scope verbreed</t>
  </si>
  <si>
    <t xml:space="preserve">hreflang (pt + x-default naar /en/), JSON-LD (Organization, Product, FAQPage), nieuwe URL's in sitemap.xml en llms.txt.</t>
  </si>
  <si>
    <t xml:space="preserve">M</t>
  </si>
  <si>
    <t xml:space="preserve">nieuw</t>
  </si>
  <si>
    <t xml:space="preserve">alle</t>
  </si>
  <si>
    <t xml:space="preserve">Wk 1</t>
  </si>
  <si>
    <t xml:space="preserve">IndexNow-ping vanuit de Netlify/GitHub-deploy bouwen (key-bestand op het domein, ping na elke deploy); Bing URL Submission API voor batches; sitemap opnieuw indienen in GSC. Geen Google Indexing API.</t>
  </si>
  <si>
    <t xml:space="preserve">Wk 1-2</t>
  </si>
  <si>
    <t xml:space="preserve">AI-visibility-tracker kiezen (Otterly Lite $29/mo of Peec AI Starter) en project 'PT' aanmaken met de 10 Portugese prompts uit het tabblad Promptset. Nulmeting vastleggen in Meetlog.</t>
  </si>
  <si>
    <t xml:space="preserve">jij</t>
  </si>
  <si>
    <t xml:space="preserve">meting</t>
  </si>
  <si>
    <t xml:space="preserve">Wk 2-4</t>
  </si>
  <si>
    <t xml:space="preserve">Persoonlijk contact met Prescription Pilates, Balance Pilates Studio, The Pilates Studio Portugal (ook opleiding), masterfranchisenemer Club Pilates PT (Mitrinha &amp; Libelinha), YOGO (yogobooking.pt), Myself Studio, Kitsunepass, Time Out Lisboa / NiT. Claude schrijft per contact, jij verstuurt. Partnerschap of content, geen massamail.</t>
  </si>
  <si>
    <t xml:space="preserve">samen</t>
  </si>
  <si>
    <t xml:space="preserve">PT/EU</t>
  </si>
  <si>
    <t xml:space="preserve">Wk 2-3</t>
  </si>
  <si>
    <t xml:space="preserve">Europages-profiel in het Portugees; Bing Places met Portugal als servicegebied; LinkedIn-bedrijfspagina in het Portugees; Wikidata-item (alleen controleerbare feiten).</t>
  </si>
  <si>
    <t xml:space="preserve">bestaand (ClickUp 36), vervroegd</t>
  </si>
  <si>
    <t xml:space="preserve">FR</t>
  </si>
  <si>
    <t xml:space="preserve">Wk 2-6</t>
  </si>
  <si>
    <t xml:space="preserve">/fr/-sectie bouwen: dezelfde paginavolgorde als /pt/, plus vergelijkingsartikel 'Comment choisir un fournisseur de chaussettes antidérapantes personnalisées pour son studio' (feitelijk, geen negatieve claims over concurrenten) en de margetabel in euro met 20% btw.</t>
  </si>
  <si>
    <t xml:space="preserve">bestaand (ClickUp 40), vervroegd van januari</t>
  </si>
  <si>
    <t xml:space="preserve">Wk 3-6</t>
  </si>
  <si>
    <t xml:space="preserve">Studiomerch-artikel pitchen bij L'Express Franchise, Observatoire de la Franchise, Toute-la-franchise; hun openingsberichten wekelijks volgen als lijst van nieuwe studio's (kopers van een welkomstpakket).</t>
  </si>
  <si>
    <t xml:space="preserve">FR/ES/PT</t>
  </si>
  <si>
    <t xml:space="preserve">Wk 2</t>
  </si>
  <si>
    <t xml:space="preserve">bsport-partnerpagina 'Merch &amp; Apparel': vermelding aanvragen (PilatesGoods staat er al). Tegenaanbod zonder korting: voorrang in de mockup-wachtrij, ES/PT/FR-service.</t>
  </si>
  <si>
    <t xml:space="preserve">bestaand (ClickUp 22)</t>
  </si>
  <si>
    <t xml:space="preserve">Wk 3</t>
  </si>
  <si>
    <t xml:space="preserve">FR-tracker-project aanmaken met de 10 Franse prompts; chaussettes-pilates.fr en Pylates.studio als concurrenten instellen.</t>
  </si>
  <si>
    <t xml:space="preserve">Wk 5-8</t>
  </si>
  <si>
    <t xml:space="preserve">Kleine, beroepsgerelateerde e-mails met opt-out aan generieke adressen (contact@) van nieuwe Franse studio's uit de franchise-openingsberichten, max. 10-15 per week. CNIL-regime; geen gescrapete lijsten, geen WhatsApp.</t>
  </si>
  <si>
    <t xml:space="preserve">IT</t>
  </si>
  <si>
    <t xml:space="preserve">Wk 4-8</t>
  </si>
  <si>
    <t xml:space="preserve">/it/-sectie bouwen: dezelfde paginavolgorde; positionering specifiek op pilates-, reformer- en barrestudio's en merch als inkomstenbron (tegenover fitness-brede Pgoplay); margetabel met 22% btw; uitleg 'calzini obbligatori' (hygiënische grip).</t>
  </si>
  <si>
    <t xml:space="preserve">Wk 6-8</t>
  </si>
  <si>
    <t xml:space="preserve">Contact met APPI (ledenkanaal, webinars) en opleidingsscholen Pilates Italia, Pilates Network, Federazione Italiana Fitness, NonSoloFitness. Claude schrijft, jij verstuurt.</t>
  </si>
  <si>
    <t xml:space="preserve">Wk 6-7</t>
  </si>
  <si>
    <t xml:space="preserve">Profielen op Europages Italië (categorie 'calze con grip') en Faire Italië; LinkedIn in het Italiaans.</t>
  </si>
  <si>
    <t xml:space="preserve">Wk 7</t>
  </si>
  <si>
    <t xml:space="preserve">IT-tracker-project met de 10 Italiaanse prompts; Pgoplay als concurrent.</t>
  </si>
  <si>
    <t xml:space="preserve">Q1 2027</t>
  </si>
  <si>
    <t xml:space="preserve">Bezoek RiminiWellness 27-30 mei 2027 plannen (als bezoeker met samples; standhouder pas met klanten).</t>
  </si>
  <si>
    <t xml:space="preserve">L</t>
  </si>
  <si>
    <t xml:space="preserve">Wekelijkse rapportage via n8n (self-hosted) of Make: GA4 Data API (sessies per bron incl. chatgpt.com, perplexity), GSC API, Bing Webmaster API, export AI-tracker → Google Sheets + e-mail. Vervangt handmatige wekelijkse checks.</t>
  </si>
  <si>
    <t xml:space="preserve">Leadlogging: webhook op het mockupformulier → rij in Sheets/CRM met UTM's, lead_id en gekozen producten (velden bestaan al sinds 2-10). Opt-in-vinkje WhatsApp toevoegen in drie talen.</t>
  </si>
  <si>
    <t xml:space="preserve">WhatsApp Business Platform met goedgekeurde templates (dag 1/3/7), alleen voor leads met opt-in. BSP kiezen en templates laten goedkeuren.</t>
  </si>
  <si>
    <t xml:space="preserve">Directory-vermeldingen eenmalig via BrightLocal Citation Builder ($3,20/vermelding; FR, IT, DE, PT): identieke bedrijfsgegevens (Ecomtierra Group SL), kernlijst van 10-15 kwaliteitsgidsen, geen honderden zwakke.</t>
  </si>
  <si>
    <t xml:space="preserve">RSS-naar-post inrichten (Buffer, Metricool of Publer), één feed per taal (Claude levert de feeds); community-posts blijven handmatig.</t>
  </si>
  <si>
    <t xml:space="preserve">Studiolijsten per stad (Google Maps via Outscraper/Apify) alleen gebruiken om te bepalen welke steden en ketens content en vermeldingen moeten afdekken. Niet voor massamail of WhatsApp.</t>
  </si>
  <si>
    <t xml:space="preserve">maandelijks</t>
  </si>
  <si>
    <t xml:space="preserve">Maandelijkse SEO/AEO-check per taalmap (/, /pt/, /fr/, /it/, /en/, /de/): GSC-vertoningen, Bing, AI-meting (Meetlog), GA4. Eerste ronde met de nieuwe mappen eind oktober.</t>
  </si>
  <si>
    <t xml:space="preserve">bestaand (ClickUp 16, herhalend)</t>
  </si>
  <si>
    <t xml:space="preserve">PT/FR/IT</t>
  </si>
  <si>
    <t xml:space="preserve">Wk 8-10</t>
  </si>
  <si>
    <t xml:space="preserve">Go/no-go per land: PT wk 6 ≥ 50 vertoningen/wk of ≥ 1 PT-lead; FR en IT wk 8 na livegang: stijgende vertoningen in GSC. Stopregel: 0 vertoningen 8 weken na indexatie = technisch probleem, eerst dat oplossen.</t>
  </si>
  <si>
    <t xml:space="preserve">besluit</t>
  </si>
  <si>
    <t xml:space="preserve">Totaal uren jij (schatting)</t>
  </si>
  <si>
    <t xml:space="preserve">Waarvan klaar</t>
  </si>
  <si>
    <t xml:space="preserve">Aantal taken open</t>
  </si>
  <si>
    <t xml:space="preserve">Voorbeeldregel (zo vul je de gele kolommen in): Status 'bezig' · Afgerond op leeg · Notities 'Otterly gekozen, 15 prompts PT ingevoerd 9-10'. Verwijder deze regel gerust.</t>
  </si>
  <si>
    <t xml:space="preserve">Automatisering van wat nu handmatig gebeurt: tools, kosten, inrichting, wat handmatig blijft</t>
  </si>
  <si>
    <t xml:space="preserve">Prijzen zijn peildatum 2 oktober 2026 en veranderen vaak; controleer ze bij de leverancier vóór aankoop. 'Niet geverifieerd' betekent: niet in het onderzoek bevestigd. Kolom Status is voor jou.</t>
  </si>
  <si>
    <t xml:space="preserve">Taak (nu handmatig)</t>
  </si>
  <si>
    <t xml:space="preserve">Tool of methode</t>
  </si>
  <si>
    <t xml:space="preserve">Kosten</t>
  </si>
  <si>
    <t xml:space="preserve">Inrichtingstijd</t>
  </si>
  <si>
    <t xml:space="preserve">Blijft handmatig</t>
  </si>
  <si>
    <t xml:space="preserve">Risico</t>
  </si>
  <si>
    <t xml:space="preserve">Wie richt in</t>
  </si>
  <si>
    <t xml:space="preserve">Indexering nieuwe URL's (GSC/Bing)</t>
  </si>
  <si>
    <t xml:space="preserve">IndexNow (Bing, Yandex, Seznam, Naver, Yep; niet Google) via Netlify/GitHub deploy-hook; Bing URL Submission API (tot 10.000 URL's/domein/dag, batches van 500; hoger quotum via supportticket). Google: sitemap automatisch bijwerken, via GSC laten ophalen.</t>
  </si>
  <si>
    <t xml:space="preserve">Gratis</t>
  </si>
  <si>
    <t xml:space="preserve">2-4 uur</t>
  </si>
  <si>
    <t xml:space="preserve">GSC URL-inspectie voor belangrijke pagina's</t>
  </si>
  <si>
    <t xml:space="preserve">Google Indexing API niet gebruiken voor gewone pagina's (alleen JobPosting/BroadcastEvent).</t>
  </si>
  <si>
    <t xml:space="preserve">AI-zichtbaarheid meten (vaste prompts, VPN per land)</t>
  </si>
  <si>
    <t xml:space="preserve">Otterly Lite $29/mo (15 prompts, ChatGPT/AI Overviews/Perplexity/Copilot). Peec AI Starter (50 prompts, 3 modellen, 1 land/project) / Pro (150 prompts, 3 landen); extra talen gratis volgens Peec-FAQ. Profound Starter $99 (alleen ChatGPT, 1 regio). Semrush AI Visibility $99/domein. Athena gratis-$295. Scrunch $300/$500. Ahrefs Brand Radar $398/$699.</t>
  </si>
  <si>
    <t xml:space="preserve">Vanaf $29/mo</t>
  </si>
  <si>
    <t xml:space="preserve">1 dag</t>
  </si>
  <si>
    <t xml:space="preserve">Prompts kiezen, conclusies trekken</t>
  </si>
  <si>
    <t xml:space="preserve">Peec-prijzen verschillen per bron ($95/$245/$495 per maand, $80/$205/$420 jaarlijks, vs €85/€205/€425): controleer peec.ai/pricing. Overzicht komt van concurrent (get-ryze).</t>
  </si>
  <si>
    <t xml:space="preserve">GA4/UTM-checks en leadlogging</t>
  </si>
  <si>
    <t xml:space="preserve">n8n (self-hosted) of Make: wekelijkse GA4 Data API-query (sessies per bron, incl. chatgpt.com/perplexity) → Google Sheets + e-mailrapport. Mockupformulier → webhook → rij in Sheets/CRM met UTM's, lead_id, producten (velden bestaan al).</t>
  </si>
  <si>
    <t xml:space="preserve">n8n self-hosted gratis; cloud/Make abonnement (niet geverifieerd)</t>
  </si>
  <si>
    <t xml:space="preserve">1-2 dagen</t>
  </si>
  <si>
    <t xml:space="preserve">Interpretatie</t>
  </si>
  <si>
    <t xml:space="preserve">Nieuwe artikelen posten op Instagram/LinkedIn/communities</t>
  </si>
  <si>
    <t xml:space="preserve">Planner met RSS-naar-post (Buffer, Metricool, Publer), één feed per taal.</t>
  </si>
  <si>
    <t xml:space="preserve">Abonnement (niet geverifieerd)</t>
  </si>
  <si>
    <t xml:space="preserve">2 uur</t>
  </si>
  <si>
    <t xml:space="preserve">Community-posts (Facebook-groepen verbieden vaak automatisering)</t>
  </si>
  <si>
    <t xml:space="preserve">Spamreputatie in groepen</t>
  </si>
  <si>
    <t xml:space="preserve">Identieke bedrijfsgegevens in directories</t>
  </si>
  <si>
    <t xml:space="preserve">BrightLocal Citation Builder: $3,20/vermelding (vanaf $2 met bundels), eenmalig, vermeldingen blijven van jou; dekt FR, IT, DE, PT. Semrush Local Pro $60/mo/locatie (40+ directories buiten de VS). Uberall alleen op offerte, min. 25 locaties (ongeschikt). Yext: EU-prijzen niet transparant.</t>
  </si>
  <si>
    <t xml:space="preserve">≈ $100-200 eenmalig of $60/mo</t>
  </si>
  <si>
    <t xml:space="preserve">Europages, Faire, Wikidata, LinkedIn zelf aanmaken</t>
  </si>
  <si>
    <t xml:space="preserve">Abonnementsmodellen kunnen vermeldingen intrekken bij opzegging; eenmalig past beter bij één locatie.</t>
  </si>
  <si>
    <t xml:space="preserve">Outreach naar blogs en softwarepartners</t>
  </si>
  <si>
    <t xml:space="preserve">Hunter/Apollo voor contacten; lemlist/Instantly voor sequenties; Claude schrijft per land en taal.</t>
  </si>
  <si>
    <t xml:space="preserve">Gepersonaliseerde eerste mail per partner (&lt;30 per land)</t>
  </si>
  <si>
    <t xml:space="preserve">Zie tabblad Juridisch outreach</t>
  </si>
  <si>
    <t xml:space="preserve">Studiolijsten verzamelen (Google Maps, Eversports, bsport)</t>
  </si>
  <si>
    <t xml:space="preserve">Apify, Phantombuster of Outscraper. Alleen voor stads- en ketenprioritering van content en vermeldingen.</t>
  </si>
  <si>
    <t xml:space="preserve">Gebruiksgebaseerd</t>
  </si>
  <si>
    <t xml:space="preserve">Uren</t>
  </si>
  <si>
    <t xml:space="preserve">Kwalificatie</t>
  </si>
  <si>
    <t xml:space="preserve">Grootste juridische risico als lijsten voor massamail/WhatsApp worden gebruikt (ES/IT/DE opt-in, FR/PT met voorwaarden).</t>
  </si>
  <si>
    <t xml:space="preserve">Maandrapportage SEO/AEO</t>
  </si>
  <si>
    <t xml:space="preserve">n8n: GSC API + Bing Webmaster API + GA4 Data API + AI-tracker-export → Looker Studio of PDF.</t>
  </si>
  <si>
    <t xml:space="preserve">Gratis tot laag</t>
  </si>
  <si>
    <t xml:space="preserve">Analyse</t>
  </si>
  <si>
    <t xml:space="preserve">WhatsApp-opvolging van leads</t>
  </si>
  <si>
    <t xml:space="preserve">WhatsApp Business Platform met goedgekeurde templates, alleen na opt-in (vinkje in het mockupformulier). Meta: alleen benaderen als de persoon zijn nummer heeft gegeven én toestemming gaf; een zichtbaar nummer is geen opt-in.</t>
  </si>
  <si>
    <t xml:space="preserve">Gesprekskosten via BSP (niet geverifieerd)</t>
  </si>
  <si>
    <t xml:space="preserve">Gesprek na de eerste template</t>
  </si>
  <si>
    <t xml:space="preserve">Accountblokkade bij cold WhatsApp</t>
  </si>
  <si>
    <t xml:space="preserve">Juridische grenzen voor cold outreach per land (geen juridisch advies; laat de opzet voor FR en PT kort toetsen)</t>
  </si>
  <si>
    <t xml:space="preserve">Conclusie: gescrapete studiolijsten niet gebruiken voor massamail of WhatsApp. Toegestaan en zinvol: (a) gepersonaliseerde, beroepsgerelateerde e-mails aan generieke studioadressen in Frankrijk en aan Portugese rechtspersonen, met opt-out; (b) e-mails aan partners (blogs, software, verenigingen) over samenwerking; (c) lijsten gebruiken voor prioritering van steden en ketens.</t>
  </si>
  <si>
    <t xml:space="preserve">Regime B2B-e-mail</t>
  </si>
  <si>
    <t xml:space="preserve">Details</t>
  </si>
  <si>
    <t xml:space="preserve">Wat mag concreet</t>
  </si>
  <si>
    <t xml:space="preserve">Bron</t>
  </si>
  <si>
    <t xml:space="preserve">Opt-out (gerechtvaardigd belang)</t>
  </si>
  <si>
    <t xml:space="preserve">Toegestaan als het onderwerp aansluit bij het beroep van de ontvanger; gratis afmeldmogelijkheid in elke mail. Generieke adressen (contact@) gelden als bedrijfsgegevens. Secundaire bron: eenmanszaken met persoonlijk adres als consument behandelen.</t>
  </si>
  <si>
    <t xml:space="preserve">Kleine, persoonlijke mails aan contact@ van studio's over merch als inkomstenbron, met afmeldlink; geen WhatsApp zonder opt-in.</t>
  </si>
  <si>
    <t xml:space="preserve">CNIL (bron 96-98)</t>
  </si>
  <si>
    <t xml:space="preserve">Opt-out voor rechtspersonen, opt-in voor natuurlijke personen</t>
  </si>
  <si>
    <t xml:space="preserve">Nationale opt-outlijst (DGC) checken vóór verzending. Eenmanszaken = natuurlijke personen = opt-in.</t>
  </si>
  <si>
    <t xml:space="preserve">Mails aan Lda./SA-studio's na DGC-check; eenmanszaken alleen na opt-in of via partnerkanaal.</t>
  </si>
  <si>
    <t xml:space="preserve">ANACOM (bron 99)</t>
  </si>
  <si>
    <t xml:space="preserve">Opt-in</t>
  </si>
  <si>
    <t xml:space="preserve">B2B-reclamemail vereist voorafgaande uitdrukkelijke toestemming (UWG §7); rechtbanken rekenen WhatsApp en LinkedIn-berichten hier ook toe.</t>
  </si>
  <si>
    <t xml:space="preserve">Geen cold e-mail, WhatsApp of LinkedIn-DM. Alleen inbound en partners.</t>
  </si>
  <si>
    <t xml:space="preserve">IHK (bron 100)</t>
  </si>
  <si>
    <t xml:space="preserve">Promotionele e-mail vereist toestemming (art. 130 Codice Privacy, Garante). Eenmanszaken gelden als natuurlijke personen.</t>
  </si>
  <si>
    <t xml:space="preserve">Geen cold e-mail. Wel: APPI, opleidingsscholen, Europages/Faire, RiminiWellness.</t>
  </si>
  <si>
    <t xml:space="preserve">Garante (zie rapport)</t>
  </si>
  <si>
    <t xml:space="preserve">LSSI art. 21 maakt geen onderscheid tussen B2B en B2C. Gegevens van zelfstandigen niet op gerechtvaardigd belang te verwerken.</t>
  </si>
  <si>
    <t xml:space="preserve">Geen cold e-mail. Inbound (site, AI-antwoorden), Instagram, partners.</t>
  </si>
  <si>
    <t xml:space="preserve">LSSI / Fieldfisher (zie rapport)</t>
  </si>
  <si>
    <t xml:space="preserve">WhatsApp (alle landen)</t>
  </si>
  <si>
    <t xml:space="preserve">Opt-in (Meta-beleid)</t>
  </si>
  <si>
    <t xml:space="preserve">Alleen benaderen als de persoon zijn nummer heeft gegeven én toestemming gaf; een zichtbaar nummer telt niet. Goedgekeurde templates nodig voor het eerste bericht.</t>
  </si>
  <si>
    <t xml:space="preserve">Opt-in-vinkje in het mockupformulier; templates dag 1/3/7; daarna vrij gesprek.</t>
  </si>
  <si>
    <t xml:space="preserve">Meta, Infobip (bron 93-95)</t>
  </si>
  <si>
    <t xml:space="preserve">Promptset voor de AI-visibility-tracker: 10 prompts per focusland, in de eigen taal (voorstel, 2-10-2026)</t>
  </si>
  <si>
    <t xml:space="preserve">Meetprotocol: nieuwe chat, geheugen uit, VPN in het doelland, 3-4 runs per platform per prompt (ChatGPT, Perplexity, Gemini/AI Overviews, Copilot), elke twee weken. Verschillen kleiner dan 5-7 procentpunt zijn ruis. Log elke run in het tabblad Meetlog. Prompt-ID's zijn vast, zodat metingen vergelijkbaar blijven.</t>
  </si>
  <si>
    <t xml:space="preserve">Prompt-ID</t>
  </si>
  <si>
    <t xml:space="preserve">Taal</t>
  </si>
  <si>
    <t xml:space="preserve">Intentie</t>
  </si>
  <si>
    <t xml:space="preserve">Prompt (letterlijk invoeren)</t>
  </si>
  <si>
    <t xml:space="preserve">Verwachte concurrenten in het antwoord</t>
  </si>
  <si>
    <t xml:space="preserve">Opmerking</t>
  </si>
  <si>
    <t xml:space="preserve">PT-01</t>
  </si>
  <si>
    <t xml:space="preserve">pt-PT</t>
  </si>
  <si>
    <t xml:space="preserve">leverancier gripsokken met logo</t>
  </si>
  <si>
    <t xml:space="preserve">Onde posso encomendar meias antiderrapantes personalizadas com o logótipo do meu estúdio de pilates em Portugal?</t>
  </si>
  <si>
    <t xml:space="preserve">Braziliaanse sites, Etsy, Chinese fabrieken</t>
  </si>
  <si>
    <t xml:space="preserve">Kernprompt</t>
  </si>
  <si>
    <t xml:space="preserve">PT-02</t>
  </si>
  <si>
    <t xml:space="preserve">merchandising-leverancier</t>
  </si>
  <si>
    <t xml:space="preserve">Que fornecedor de merchandising para estúdios de pilates existe em Portugal ou na Europa?</t>
  </si>
  <si>
    <t xml:space="preserve">Pure Pilates (BR), generiek</t>
  </si>
  <si>
    <t xml:space="preserve">PT-03</t>
  </si>
  <si>
    <t xml:space="preserve">omzet verhogen</t>
  </si>
  <si>
    <t xml:space="preserve">Como posso aumentar a faturação do meu estúdio de pilates sem contratar mais professores?</t>
  </si>
  <si>
    <t xml:space="preserve">Softwareblogs (YOGO, Myself Studio)</t>
  </si>
  <si>
    <t xml:space="preserve">Informatief; meet of merch als optie genoemd wordt</t>
  </si>
  <si>
    <t xml:space="preserve">PT-04</t>
  </si>
  <si>
    <t xml:space="preserve">welkomstpakket</t>
  </si>
  <si>
    <t xml:space="preserve">O que incluir num kit de boas-vindas para novos alunos de um estúdio de pilates?</t>
  </si>
  <si>
    <t xml:space="preserve">PT-05</t>
  </si>
  <si>
    <t xml:space="preserve">kerstcadeaus</t>
  </si>
  <si>
    <t xml:space="preserve">Ideias de presentes de Natal para os alunos do meu estúdio de pilates, com o logótipo do estúdio.</t>
  </si>
  <si>
    <t xml:space="preserve">Etsy, Oysho</t>
  </si>
  <si>
    <t xml:space="preserve">Seizoensprompt</t>
  </si>
  <si>
    <t xml:space="preserve">PT-06</t>
  </si>
  <si>
    <t xml:space="preserve">prijs en minimum</t>
  </si>
  <si>
    <t xml:space="preserve">Quanto custa fazer 50 pares de meias antiderrapantes com logótipo para um estúdio?</t>
  </si>
  <si>
    <t xml:space="preserve">Braziliaanse sites</t>
  </si>
  <si>
    <t xml:space="preserve">Meet of 7,50 €/MOQ 50 wordt geciteerd</t>
  </si>
  <si>
    <t xml:space="preserve">PT-07</t>
  </si>
  <si>
    <t xml:space="preserve">marge</t>
  </si>
  <si>
    <t xml:space="preserve">Qual é a margem de lucro ao vender meias antiderrapantes com a marca do estúdio aos alunos?</t>
  </si>
  <si>
    <t xml:space="preserve">chaussettes-pilates.fr (FR), generiek</t>
  </si>
  <si>
    <t xml:space="preserve">Meet of de margetabel wordt geciteerd</t>
  </si>
  <si>
    <t xml:space="preserve">PT-08</t>
  </si>
  <si>
    <t xml:space="preserve">Europese leverancier</t>
  </si>
  <si>
    <t xml:space="preserve">Existe algum fornecedor europeu (não brasileiro) de meias de pilates personalizadas que envie para Portugal sem alfândega?</t>
  </si>
  <si>
    <t xml:space="preserve">Test van de regel 'fornecedor europeu'</t>
  </si>
  <si>
    <t xml:space="preserve">PT-09</t>
  </si>
  <si>
    <t xml:space="preserve">mockup</t>
  </si>
  <si>
    <t xml:space="preserve">Onde consigo um mockup gratuito das meias com o logótipo do meu estúdio antes de encomendar?</t>
  </si>
  <si>
    <t xml:space="preserve">Meet de 24-uursbelofte</t>
  </si>
  <si>
    <t xml:space="preserve">PT-10</t>
  </si>
  <si>
    <t xml:space="preserve">merknaam</t>
  </si>
  <si>
    <t xml:space="preserve">O que é a Mediterrano Pilates e o que vende a estúdios de pilates?</t>
  </si>
  <si>
    <t xml:space="preserve">Entiteitscheck</t>
  </si>
  <si>
    <t xml:space="preserve">FR-01</t>
  </si>
  <si>
    <t xml:space="preserve">fr</t>
  </si>
  <si>
    <t xml:space="preserve">Où commander des chaussettes antidérapantes personnalisées avec le logo de mon studio de Pilates en France ?</t>
  </si>
  <si>
    <t xml:space="preserve">chaussettes-pilates.fr, Pylates.studio, Etsy</t>
  </si>
  <si>
    <t xml:space="preserve">FR-02</t>
  </si>
  <si>
    <t xml:space="preserve">Quel fournisseur de merchandising pour studio de Pilates recommandez-vous en France ?</t>
  </si>
  <si>
    <t xml:space="preserve">chaussettes-pilates.fr, Pylates.studio</t>
  </si>
  <si>
    <t xml:space="preserve">FR-03</t>
  </si>
  <si>
    <t xml:space="preserve">Comment augmenter le chiffre d'affaires de mon studio de Pilates sans ajouter de cours ?</t>
  </si>
  <si>
    <t xml:space="preserve">bsport, softwareblogs</t>
  </si>
  <si>
    <t xml:space="preserve">Informatief</t>
  </si>
  <si>
    <t xml:space="preserve">FR-04</t>
  </si>
  <si>
    <t xml:space="preserve">Que mettre dans un pack de bienvenue pour les nouveaux adhérents d'un studio de Pilates ?</t>
  </si>
  <si>
    <t xml:space="preserve">Pylates.studio</t>
  </si>
  <si>
    <t xml:space="preserve">FR-05</t>
  </si>
  <si>
    <t xml:space="preserve">Idées de cadeaux de Noël pour les clientes de mon studio de Pilates, avec notre logo.</t>
  </si>
  <si>
    <t xml:space="preserve">Etsy</t>
  </si>
  <si>
    <t xml:space="preserve">FR-06</t>
  </si>
  <si>
    <t xml:space="preserve">Combien coûtent 50 paires de chaussettes de Pilates avec logo en petite quantité ?</t>
  </si>
  <si>
    <t xml:space="preserve">chaussettes-pilates.fr, Etsy</t>
  </si>
  <si>
    <t xml:space="preserve">FR-07</t>
  </si>
  <si>
    <t xml:space="preserve">Combien rapporte la vente de chaussettes antidérapantes à la marque du studio aux adhérents ?</t>
  </si>
  <si>
    <t xml:space="preserve">chaussettes-pilates.fr ('&gt;60%')</t>
  </si>
  <si>
    <t xml:space="preserve">FR-08</t>
  </si>
  <si>
    <t xml:space="preserve">leverancierskeuze</t>
  </si>
  <si>
    <t xml:space="preserve">Comment choisir un fournisseur de chaussettes antidérapantes personnalisées pour son studio de Pilates ?</t>
  </si>
  <si>
    <t xml:space="preserve">Test van het vergelijkingsartikel</t>
  </si>
  <si>
    <t xml:space="preserve">FR-09</t>
  </si>
  <si>
    <t xml:space="preserve">Où obtenir une maquette gratuite de chaussettes avec le logo de mon studio avant de commander ?</t>
  </si>
  <si>
    <t xml:space="preserve">FR-10</t>
  </si>
  <si>
    <t xml:space="preserve">Qu'est-ce que Mediterrano Pilates et que propose-t-elle aux studios de Pilates ?</t>
  </si>
  <si>
    <t xml:space="preserve">IT-01</t>
  </si>
  <si>
    <t xml:space="preserve">it</t>
  </si>
  <si>
    <t xml:space="preserve">Dove posso ordinare calzini antiscivolo personalizzati con il logo del mio studio pilates in Italia?</t>
  </si>
  <si>
    <t xml:space="preserve">Pgoplay, Gadget.it, Faire, Etsy</t>
  </si>
  <si>
    <t xml:space="preserve">IT-02</t>
  </si>
  <si>
    <t xml:space="preserve">Quale fornitore di merchandising per studi pilates consigliate in Italia o in Europa?</t>
  </si>
  <si>
    <t xml:space="preserve">Pgoplay</t>
  </si>
  <si>
    <t xml:space="preserve">IT-03</t>
  </si>
  <si>
    <t xml:space="preserve">Come aumentare i ricavi di uno studio pilates senza aggiungere lezioni?</t>
  </si>
  <si>
    <t xml:space="preserve">Softwareblogs</t>
  </si>
  <si>
    <t xml:space="preserve">IT-04</t>
  </si>
  <si>
    <t xml:space="preserve">Cosa mettere in un kit di benvenuto per i nuovi clienti di uno studio pilates?</t>
  </si>
  <si>
    <t xml:space="preserve">IT-05</t>
  </si>
  <si>
    <t xml:space="preserve">Idee regalo di Natale per le clienti del mio studio pilates, con il nostro logo.</t>
  </si>
  <si>
    <t xml:space="preserve">Etsy, Snocks</t>
  </si>
  <si>
    <t xml:space="preserve">IT-06</t>
  </si>
  <si>
    <t xml:space="preserve">Quanto costano 50 paia di calze pilates con logo, minimo ordine basso?</t>
  </si>
  <si>
    <t xml:space="preserve">Pgoplay, Faire (Paddi Studio MOQ 30)</t>
  </si>
  <si>
    <t xml:space="preserve">IT-07</t>
  </si>
  <si>
    <t xml:space="preserve">Quanto si guadagna vendendo calzini antiscivolo con il marchio dello studio ai clienti?</t>
  </si>
  <si>
    <t xml:space="preserve">IT-08</t>
  </si>
  <si>
    <t xml:space="preserve">verplichte sokken</t>
  </si>
  <si>
    <t xml:space="preserve">I calzini antiscivolo sono obbligatori nello studio pilates? Posso venderli con il mio logo?</t>
  </si>
  <si>
    <t xml:space="preserve">Test van de 'calzini obbligatori'-uitleg</t>
  </si>
  <si>
    <t xml:space="preserve">IT-09</t>
  </si>
  <si>
    <t xml:space="preserve">Dove ottengo un mockup gratuito dei calzini con il logo del mio studio prima di ordinare?</t>
  </si>
  <si>
    <t xml:space="preserve">IT-10</t>
  </si>
  <si>
    <t xml:space="preserve">Che cos'è Mediterrano Pilates e cosa offre agli studi pilates?</t>
  </si>
  <si>
    <t xml:space="preserve">Meetlog AI-zichtbaarheid: één rij per run (leeg, invullen vanaf de nulmeting)</t>
  </si>
  <si>
    <t xml:space="preserve">Vul per run één rij. 'Genoemd' = Mediterrano Pilates komt in het antwoord voor (ja/nee). 'Positie' = volgorde waarin wij genoemd worden (1 = eerst). Noteer alle genoemde merken, zodat we zien wie we moeten inhalen. De eerste rij is een voorbeeld; verwijder hem na je eerste echte meting.</t>
  </si>
  <si>
    <t xml:space="preserve">Datum</t>
  </si>
  <si>
    <t xml:space="preserve">Land (VPN)</t>
  </si>
  <si>
    <t xml:space="preserve">Platform</t>
  </si>
  <si>
    <t xml:space="preserve">Genoemd (ja/nee)</t>
  </si>
  <si>
    <t xml:space="preserve">Positie</t>
  </si>
  <si>
    <t xml:space="preserve">Genoemde merken</t>
  </si>
  <si>
    <t xml:space="preserve">Geciteerde URL's</t>
  </si>
  <si>
    <t xml:space="preserve">ChatGPT</t>
  </si>
  <si>
    <t xml:space="preserve">nee</t>
  </si>
  <si>
    <t xml:space="preserve">Brindice, Cotton Sock, Etsy (voorbeeld)</t>
  </si>
  <si>
    <t xml:space="preserve">(voorbeeld)</t>
  </si>
  <si>
    <t xml:space="preserve">Voorbeeldregel: nulmeting vóór /pt/ live</t>
  </si>
  <si>
    <t xml:space="preserve">Samenvatting</t>
  </si>
  <si>
    <t xml:space="preserve">Runs gelogd</t>
  </si>
  <si>
    <t xml:space="preserve">Waarvan genoemd</t>
  </si>
  <si>
    <t xml:space="preserve">Aandeel genoemd</t>
  </si>
  <si>
    <t xml:space="preserve">Bronnen (100), genummerd zoals in het rapport en het tabblad Landanalyse</t>
  </si>
  <si>
    <t xml:space="preserve">Vendor-data (Peec AI, get-ryze, tool-prijspagina's) zijn correlationeel of commercieel; Eurostat, EF, CNIL, ANACOM, IHK en Meta zijn primaire bronnen.</t>
  </si>
  <si>
    <t xml:space="preserve">Domein</t>
  </si>
  <si>
    <t xml:space="preserve">URL</t>
  </si>
  <si>
    <t xml:space="preserve">pylates.studio</t>
  </si>
  <si>
    <t xml:space="preserve">https://www.pylates.studio/top-studios-pilates-a-lisbonne-notre-selection-2026/</t>
  </si>
  <si>
    <t xml:space="preserve">pgoplay.com</t>
  </si>
  <si>
    <t xml:space="preserve">https://pgoplay.com/calzini-personalizzati-per-la-tua-palestra/</t>
  </si>
  <si>
    <t xml:space="preserve">ansa.it</t>
  </si>
  <si>
    <t xml:space="preserve">https://www.ansa.it/canale_tecnologia/notizie/future_tech/2026/03/20/quasi-15-milioni-di-italiani-usano-le-app-di-ia-1-su-4-va-su-chatgpt_dda3e68a-1ec2-4b7d-af33-300b795ef2f7.html</t>
  </si>
  <si>
    <t xml:space="preserve">snocks.com</t>
  </si>
  <si>
    <t xml:space="preserve">https://snocks.com/pl-pl/collections/skarpetki-do-pilatesu</t>
  </si>
  <si>
    <t xml:space="preserve">listflix.de</t>
  </si>
  <si>
    <t xml:space="preserve">https://listflix.de/statistik/pilatesstudios/</t>
  </si>
  <si>
    <t xml:space="preserve">https://listflix.de/dienstleistung/pilatesstudios/</t>
  </si>
  <si>
    <t xml:space="preserve">pilatesstudios.uk</t>
  </si>
  <si>
    <t xml:space="preserve">https://pilatesstudios.uk/state-of-uk-pilates-2026</t>
  </si>
  <si>
    <t xml:space="preserve">pilatesvandaag.com</t>
  </si>
  <si>
    <t xml:space="preserve">https://www.pilatesvandaag.com/</t>
  </si>
  <si>
    <t xml:space="preserve">aimhigh.pl</t>
  </si>
  <si>
    <t xml:space="preserve">https://aimhigh.pl/produkt/custom-socks/</t>
  </si>
  <si>
    <t xml:space="preserve">pilatesiara.com</t>
  </si>
  <si>
    <t xml:space="preserve">https://pilatesiara.com/</t>
  </si>
  <si>
    <t xml:space="preserve">lista.mercadolivre.com.br</t>
  </si>
  <si>
    <t xml:space="preserve">https://lista.mercadolivre.com.br/fabrica-meias-personalizadas-pilates</t>
  </si>
  <si>
    <t xml:space="preserve">brindice.com.br</t>
  </si>
  <si>
    <t xml:space="preserve">https://www.brindice.com.br/personalizado/meias-antiderrapantes-para-pilates-personalizadas</t>
  </si>
  <si>
    <t xml:space="preserve">icompressionsocks.com</t>
  </si>
  <si>
    <t xml:space="preserve">https://www.icompressionsocks.com/pt/custom-pilates-socks-manufacturer/</t>
  </si>
  <si>
    <t xml:space="preserve">cottonsock.com.br</t>
  </si>
  <si>
    <t xml:space="preserve">https://www.cottonsock.com.br/sapatilhas-pilates-personalizadas/</t>
  </si>
  <si>
    <t xml:space="preserve">yipintextile.com</t>
  </si>
  <si>
    <t xml:space="preserve">https://www.yipintextile.com/products/custom-non-slip-pilates-grip-socks-women.html</t>
  </si>
  <si>
    <t xml:space="preserve">oysho.com</t>
  </si>
  <si>
    <t xml:space="preserve">https://www.oysho.com/pt/pack-de-2-pares-de-meias-para-yoga-e-pilates-com-tiras-cruzadas-em-mistura-de-algodao-l31336490</t>
  </si>
  <si>
    <t xml:space="preserve">loja.purepilates.com.br</t>
  </si>
  <si>
    <t xml:space="preserve">https://loja.purepilates.com.br/meias</t>
  </si>
  <si>
    <t xml:space="preserve">etsy.com</t>
  </si>
  <si>
    <t xml:space="preserve">https://www.etsy.com/pt/listing/1454419957/custom-grippy-socks-by-blissful-socks</t>
  </si>
  <si>
    <t xml:space="preserve">chaussettes-pilates.fr</t>
  </si>
  <si>
    <t xml:space="preserve">https://chaussettes-pilates.fr/chaussettes-pilates-avec-logo/</t>
  </si>
  <si>
    <t xml:space="preserve">https://chaussettes-pilates.fr/</t>
  </si>
  <si>
    <t xml:space="preserve">https://www.pylates.studio/personnaliser-des-chaussettes-pilates-avec-votre-logo-mode-demploi/</t>
  </si>
  <si>
    <t xml:space="preserve">https://www.pylates.studio/chaussettes-pilates-personnalisees-un-outil-marketing-puissant-pour-votre-studio/</t>
  </si>
  <si>
    <t xml:space="preserve">peec.ai</t>
  </si>
  <si>
    <t xml:space="preserve">https://peec.ai/blog/chatgpt-searches-in-english-even-when-you-don-t</t>
  </si>
  <si>
    <t xml:space="preserve">ec.europa.eu</t>
  </si>
  <si>
    <t xml:space="preserve">https://ec.europa.eu/eurostat/statistics-explained/index.php?title=Use_of_artificial_intelligence_by_individuals</t>
  </si>
  <si>
    <t xml:space="preserve">https://www.ansa.it/sito/notizie/economia/2026/04/22/italia-agli-ultimi-posti-in-europa-per-lia-la-usa-il-178-della_621c3061-53dd-4c67-9693-0ccbb19ccc04.html</t>
  </si>
  <si>
    <t xml:space="preserve">appi-italia.com</t>
  </si>
  <si>
    <t xml:space="preserve">https://www.appi-italia.com/2024/12/18/approvati-i-codici-ateco-dedicati-ai-professionisti-e-agli-studi-di-pilates/</t>
  </si>
  <si>
    <t xml:space="preserve">lexpress-franchise.com</t>
  </si>
  <si>
    <t xml:space="preserve">https://lexpress-franchise.com/de/aktuelles/club-pilates-baut-franchise-netz-deutschland-aus-150-studios/</t>
  </si>
  <si>
    <t xml:space="preserve">petitesaffiches.fr</t>
  </si>
  <si>
    <t xml:space="preserve">https://www.petitesaffiches.fr/actualites,069/economie,045/club-pilates-poursuit-son,45463.html</t>
  </si>
  <si>
    <t xml:space="preserve">https://lexpress-franchise.com/actualites/club-pilates-ambitionne-de-lancer-35-studios-en-france-dici-fin-2026/</t>
  </si>
  <si>
    <t xml:space="preserve">myselfstudio.pt</t>
  </si>
  <si>
    <t xml:space="preserve">https://www.myselfstudio.pt/blog/fitness-em-portugal-dados-2026</t>
  </si>
  <si>
    <t xml:space="preserve">kitsunepass.com</t>
  </si>
  <si>
    <t xml:space="preserve">https://www.kitsunepass.com/blog/estudio-fitness-portugal-analise-mercado-2026</t>
  </si>
  <si>
    <t xml:space="preserve">investor.xponential.com</t>
  </si>
  <si>
    <t xml:space="preserve">https://investor.xponential.com/news/detail/79/xponential-fitness-signs-master-franchise-agreement-in</t>
  </si>
  <si>
    <t xml:space="preserve">infofranchising.pt</t>
  </si>
  <si>
    <t xml:space="preserve">https://www.infofranchising.pt/balance-pilates-norte-franchise-2026</t>
  </si>
  <si>
    <t xml:space="preserve">timeout.pt</t>
  </si>
  <si>
    <t xml:space="preserve">https://www.timeout.pt/lisboa/pt/coisas-para-fazer/alongar-suar-dancar-sete-estudios-de-pilates-para-manter-a-forma</t>
  </si>
  <si>
    <t xml:space="preserve">newinporto.nit.pt</t>
  </si>
  <si>
    <t xml:space="preserve">https://newinporto.nit.pt/fit/ha-um-novo-estudio-no-porto-onde-o-pilates-se-faz-ao-ritmo-da-musica</t>
  </si>
  <si>
    <t xml:space="preserve">ef.com</t>
  </si>
  <si>
    <t xml:space="preserve">https://www.ef.com/wwen/epi/</t>
  </si>
  <si>
    <t xml:space="preserve">observatoiredelafranchise.fr</t>
  </si>
  <si>
    <t xml:space="preserve">https://www.observatoiredelafranchise.fr/indiscretions-actualite/CLUB-PILATES-club-pilates-accelere-son-expansion-en-france-et-vise-35-studios-ouverts-d-ici-fin-2026-83277.htm</t>
  </si>
  <si>
    <t xml:space="preserve">https://www.etsy.com/fr/market/chaussettes_pilates</t>
  </si>
  <si>
    <t xml:space="preserve">https://www.ef.com/assetscdn/WIBIwq6RdJvcD9bc8RMd/cefcom-epi-site/reports/2025/ef-epi-2025-english.pdf</t>
  </si>
  <si>
    <t xml:space="preserve">https://www.appi-italia.com/2025/02/11/il-pilates-di-qualita-in-italia-esiste/</t>
  </si>
  <si>
    <t xml:space="preserve">softwarebusinessplan.it</t>
  </si>
  <si>
    <t xml:space="preserve">https://www.softwarebusinessplan.it/pilates-studio-guida-pratica/</t>
  </si>
  <si>
    <t xml:space="preserve">faire.com</t>
  </si>
  <si>
    <t xml:space="preserve">https://www.faire.com/it/store-type/pilates-studio</t>
  </si>
  <si>
    <t xml:space="preserve">gadget.it</t>
  </si>
  <si>
    <t xml:space="preserve">https://www.gadget.it/abbigliamento/abbigliamento-sportivo/calze</t>
  </si>
  <si>
    <t xml:space="preserve">https://www.icompressionsocks.com/it/custom-pilates-socks-manufacturer/</t>
  </si>
  <si>
    <t xml:space="preserve">axonprofil.it</t>
  </si>
  <si>
    <t xml:space="preserve">https://www.axonprofil.it/calze</t>
  </si>
  <si>
    <t xml:space="preserve">https://www.faire.com/it/discover/calzini-antiscivolo-per-pilates-personalizzati</t>
  </si>
  <si>
    <t xml:space="preserve">https://snocks.com/it-it/collections/calzini-pilates</t>
  </si>
  <si>
    <t xml:space="preserve">https://ec.europa.eu/eurostat/web/products-eurostat-news/w/ddn-20251216-3</t>
  </si>
  <si>
    <t xml:space="preserve">adressbar.de</t>
  </si>
  <si>
    <t xml:space="preserve">https://adressbar.de/branchendetail/Pilates-Studios-567</t>
  </si>
  <si>
    <t xml:space="preserve">firmenliste.net</t>
  </si>
  <si>
    <t xml:space="preserve">https://www.firmenliste.net/product.php?idListe=19622&amp;katId=11&amp;firmenliste=Pilates+Studios</t>
  </si>
  <si>
    <t xml:space="preserve">firmenliste.info</t>
  </si>
  <si>
    <t xml:space="preserve">https://firmenliste.info/detail.php?id=533</t>
  </si>
  <si>
    <t xml:space="preserve">bookicorn.net</t>
  </si>
  <si>
    <t xml:space="preserve">https://www.bookicorn.net/en/blog/open-a-pilates-studio-in-2026-the-ultimate-guide-with-costs-training-and-business-plan</t>
  </si>
  <si>
    <t xml:space="preserve">https://snocks.com/pl/products/pilates-socken</t>
  </si>
  <si>
    <t xml:space="preserve">germanpedia.com</t>
  </si>
  <si>
    <t xml:space="preserve">https://germanpedia.com/top-ai-users-eu/</t>
  </si>
  <si>
    <t xml:space="preserve">https://ec.europa.eu/eurostat/statistics-explained/SEPDF/cache/33472.pdf</t>
  </si>
  <si>
    <t xml:space="preserve">countryandtownhouse.com</t>
  </si>
  <si>
    <t xml:space="preserve">https://www.countryandtownhouse.com/style/health-and-beauty/reformer-pilates-backlash/</t>
  </si>
  <si>
    <t xml:space="preserve">aol.com</t>
  </si>
  <si>
    <t xml:space="preserve">https://www.aol.com/calls-reformer-pilates-regulation-amid-061549727.html</t>
  </si>
  <si>
    <t xml:space="preserve">persportaal.anp.nl</t>
  </si>
  <si>
    <t xml:space="preserve">https://persportaal.anp.nl/artikel/be72c7c7-7c4b-4560-b991-2634c3eb8644/lagree-volgt-reformer-pilates-op-als-nieuwe-pilates-trend-van-2026</t>
  </si>
  <si>
    <t xml:space="preserve">sgbonline.com</t>
  </si>
  <si>
    <t xml:space="preserve">https://sgbonline.com/club-pilates-franchisee-adds-master-franchisee-agreement-for-three-additional-countries/</t>
  </si>
  <si>
    <t xml:space="preserve">atfw.ca</t>
  </si>
  <si>
    <t xml:space="preserve">https://www.atfw.ca/blog-3/clubpilates-europe</t>
  </si>
  <si>
    <t xml:space="preserve">baskreacja.pl</t>
  </si>
  <si>
    <t xml:space="preserve">https://baskreacja.pl/gadzety-na-joge-i-pilates/</t>
  </si>
  <si>
    <t xml:space="preserve">i-com.it</t>
  </si>
  <si>
    <t xml:space="preserve">https://www.i-com.it/2026/07/03/europa-e-ia-generativa-cresce-luso-restano-i-divari/</t>
  </si>
  <si>
    <t xml:space="preserve">amazon.se</t>
  </si>
  <si>
    <t xml:space="preserve">https://www.amazon.se/Halkfria-strumpor-pilates-studsmatta-kampsport/dp/B08ZKJ72L5</t>
  </si>
  <si>
    <t xml:space="preserve">www2.hm.com</t>
  </si>
  <si>
    <t xml:space="preserve">https://www2.hm.com/sv_se/productpage.1268610001.html</t>
  </si>
  <si>
    <t xml:space="preserve">flexorex.se</t>
  </si>
  <si>
    <t xml:space="preserve">https://flexorex.se/p/non-slip-grip-pilates-socks/</t>
  </si>
  <si>
    <t xml:space="preserve">reformher.se</t>
  </si>
  <si>
    <t xml:space="preserve">https://reformher.se/collections/alla-produkter</t>
  </si>
  <si>
    <t xml:space="preserve">https://ec.europa.eu/eurostat/documents/7870049/23260410/KS-01-26-009-EN-N.pdf</t>
  </si>
  <si>
    <t xml:space="preserve">mosalingua.com</t>
  </si>
  <si>
    <t xml:space="preserve">https://www.mosalingua.com/en/ef-english-proficiency-index-2025-where-does-your-country-rank/</t>
  </si>
  <si>
    <t xml:space="preserve">euronews.com</t>
  </si>
  <si>
    <t xml:space="preserve">https://www.euronews.com/2026/02/16/as-ai-use-surges-across-the-eu-who-are-the-countries-and-age-groups-using-it-most</t>
  </si>
  <si>
    <t xml:space="preserve">yogobooking.pt</t>
  </si>
  <si>
    <t xml:space="preserve">https://yogobooking.pt/blog/melhor-software-reserva-pilates-reformer-portugal</t>
  </si>
  <si>
    <t xml:space="preserve">toute-la-franchise.com</t>
  </si>
  <si>
    <t xml:space="preserve">https://www.toute-la-franchise.com/news-club-pilates-croissance-soutenue-en-france</t>
  </si>
  <si>
    <t xml:space="preserve">athletechnews.com</t>
  </si>
  <si>
    <t xml:space="preserve">https://athletechnews.com/club-pilates-anytime-fitness-head-to-france-as-european-market-heats-up/</t>
  </si>
  <si>
    <t xml:space="preserve">europages.it</t>
  </si>
  <si>
    <t xml:space="preserve">https://www.europages.it/it/showroom/calze-con-grip</t>
  </si>
  <si>
    <t xml:space="preserve">nonsolofitness.it</t>
  </si>
  <si>
    <t xml:space="preserve">https://www.nonsolofitness.it/corsi/istruttore-pilates.html</t>
  </si>
  <si>
    <t xml:space="preserve">pilatesnetwork.it</t>
  </si>
  <si>
    <t xml:space="preserve">https://www.pilatesnetwork.it/la-scuola/</t>
  </si>
  <si>
    <t xml:space="preserve">yptrainer.com</t>
  </si>
  <si>
    <t xml:space="preserve">https://www.yptrainer.com/diventare-istruttore-di-pilates-competenze-requisiti-e-scuole</t>
  </si>
  <si>
    <t xml:space="preserve">riminiwellness.com</t>
  </si>
  <si>
    <t xml:space="preserve">https://www.riminiwellness.com/en/presentation</t>
  </si>
  <si>
    <t xml:space="preserve">travel2fair.com</t>
  </si>
  <si>
    <t xml:space="preserve">https://travel2fair.com/exhibitions/rimini-wellness</t>
  </si>
  <si>
    <t xml:space="preserve">nuxtseo.com</t>
  </si>
  <si>
    <t xml:space="preserve">https://nuxtseo.com/learn-seo/nuxt/launch-and-listen/indexnow</t>
  </si>
  <si>
    <t xml:space="preserve">indexernow.com</t>
  </si>
  <si>
    <t xml:space="preserve">https://www.indexernow.com/blog/indexing-api-compliance-jobposting-broadcast</t>
  </si>
  <si>
    <t xml:space="preserve">frase.io</t>
  </si>
  <si>
    <t xml:space="preserve">https://www.frase.io/blog/peec-ai-alternatives</t>
  </si>
  <si>
    <t xml:space="preserve">get-ryze.ai</t>
  </si>
  <si>
    <t xml:space="preserve">https://www.get-ryze.ai/blog/peec-ai-review-pricing-2026</t>
  </si>
  <si>
    <t xml:space="preserve">https://www.get-ryze.ai/blog/ai-visibility-tools-pricing-compared-2026</t>
  </si>
  <si>
    <t xml:space="preserve">geotoolbox.ai</t>
  </si>
  <si>
    <t xml:space="preserve">https://geotoolbox.ai/blog/what-is-peec-ai</t>
  </si>
  <si>
    <t xml:space="preserve">tryhikoo.com</t>
  </si>
  <si>
    <t xml:space="preserve">https://www.tryhikoo.com/en/blog/comparisons/otterly.ai-vs-peec-ai/</t>
  </si>
  <si>
    <t xml:space="preserve">brightlocal.com</t>
  </si>
  <si>
    <t xml:space="preserve">https://www.brightlocal.com/citation-builder/</t>
  </si>
  <si>
    <t xml:space="preserve">help.brightlocal.com</t>
  </si>
  <si>
    <t xml:space="preserve">https://help.brightlocal.com/hc/en-us/articles/213143898-Which-countries-does-Citation-Builder-work-in</t>
  </si>
  <si>
    <t xml:space="preserve">semrush.com</t>
  </si>
  <si>
    <t xml:space="preserve">https://www.semrush.com/kb/1611-local-toolkit-pricing-and-plans</t>
  </si>
  <si>
    <t xml:space="preserve">https://www.semrush.com/kb/1391-semrush-local</t>
  </si>
  <si>
    <t xml:space="preserve">wisernotify.com</t>
  </si>
  <si>
    <t xml:space="preserve">https://wisernotify.com/blog/uberall-alternatives/</t>
  </si>
  <si>
    <t xml:space="preserve">g2.com</t>
  </si>
  <si>
    <t xml:space="preserve">https://www.g2.com/compare/uberall-2024-01-10-vs-yext</t>
  </si>
  <si>
    <t xml:space="preserve">checkthat.ai</t>
  </si>
  <si>
    <t xml:space="preserve">https://checkthat.ai/brands/yext/pricing</t>
  </si>
  <si>
    <t xml:space="preserve">developers.facebook.com</t>
  </si>
  <si>
    <t xml:space="preserve">https://developers.facebook.com/documentation/business-messaging/whatsapp/getting-opt-in</t>
  </si>
  <si>
    <t xml:space="preserve">infobip.com</t>
  </si>
  <si>
    <t xml:space="preserve">https://www.infobip.com/docs/whatsapp/compliance/user-opt-ins</t>
  </si>
  <si>
    <t xml:space="preserve">wuseller.com</t>
  </si>
  <si>
    <t xml:space="preserve">https://www.wuseller.com/whatsapp-business-knowledge-hub/whatsapp-business-opt-in-rules-prevent-bans-grow-lists/</t>
  </si>
  <si>
    <t xml:space="preserve">cnil.fr</t>
  </si>
  <si>
    <t xml:space="preserve">https://www.cnil.fr/en/node/14686</t>
  </si>
  <si>
    <t xml:space="preserve">https://www.cnil.fr/fr/la-prospection-commerciale-par-courrier-electronique</t>
  </si>
  <si>
    <t xml:space="preserve">majoli.io</t>
  </si>
  <si>
    <t xml:space="preserve">https://majoli.io/blog/etes-vous-en-regle-lerreur-de-prospection-qui-peut-couter-de-3-000-a-100-000-aux-pme</t>
  </si>
  <si>
    <t xml:space="preserve">anacom.pt</t>
  </si>
  <si>
    <t xml:space="preserve">https://www.anacom.pt/render.jsp?categoryId=275862</t>
  </si>
  <si>
    <t xml:space="preserve">ihk.de</t>
  </si>
  <si>
    <t xml:space="preserve">https://www.ihk.de/stuttgart/fuer-unternehmen/recht-und-steuern/wettbewerbsrecht/richtig-werben/was-ist-erlaubt-684868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</si>
</sst>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\€#,##0.00"/>
    <numFmt numFmtId="167" formatCode="0%"/>
    <numFmt numFmtId="168" formatCode="0.0%"/>
    <numFmt numFmtId="169" formatCode="dd\-mm\-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403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B736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4034"/>
        <bgColor rgb="FF333300"/>
      </patternFill>
    </fill>
    <fill>
      <patternFill patternType="solid">
        <fgColor rgb="FFFFF2CC"/>
        <bgColor rgb="FFE3EBE4"/>
      </patternFill>
    </fill>
    <fill>
      <patternFill patternType="solid">
        <fgColor rgb="FFE3EBE4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4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4C7"/>
      <rgbColor rgb="FF6B736C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EB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3" customFormat="false" ht="61.5" hidden="false" customHeight="true" outlineLevel="0" collapsed="false">
      <c r="A3" s="2" t="s">
        <v>1</v>
      </c>
      <c r="B3" s="3" t="s">
        <v>2</v>
      </c>
    </row>
    <row r="4" customFormat="false" ht="61.5" hidden="false" customHeight="true" outlineLevel="0" collapsed="false">
      <c r="A4" s="2" t="s">
        <v>3</v>
      </c>
      <c r="B4" s="3" t="s">
        <v>4</v>
      </c>
    </row>
    <row r="5" customFormat="false" ht="61.5" hidden="false" customHeight="true" outlineLevel="0" collapsed="false">
      <c r="A5" s="2" t="s">
        <v>5</v>
      </c>
      <c r="B5" s="3" t="s">
        <v>6</v>
      </c>
    </row>
    <row r="6" customFormat="false" ht="61.5" hidden="false" customHeight="true" outlineLevel="0" collapsed="false">
      <c r="A6" s="2" t="s">
        <v>7</v>
      </c>
      <c r="B6" s="3" t="s">
        <v>8</v>
      </c>
    </row>
    <row r="7" customFormat="false" ht="61.5" hidden="false" customHeight="true" outlineLevel="0" collapsed="false">
      <c r="A7" s="2" t="s">
        <v>9</v>
      </c>
      <c r="B7" s="3" t="s">
        <v>10</v>
      </c>
    </row>
    <row r="8" customFormat="false" ht="61.5" hidden="false" customHeight="true" outlineLevel="0" collapsed="false">
      <c r="A8" s="2" t="s">
        <v>11</v>
      </c>
      <c r="B8" s="3" t="s">
        <v>12</v>
      </c>
    </row>
    <row r="9" customFormat="false" ht="61.5" hidden="false" customHeight="true" outlineLevel="0" collapsed="false">
      <c r="A9" s="2" t="s">
        <v>13</v>
      </c>
      <c r="B9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22"/>
    <col collapsed="false" customWidth="true" hidden="false" outlineLevel="0" max="9" min="8" style="0" width="12"/>
    <col collapsed="false" customWidth="true" hidden="false" outlineLevel="0" max="10" min="10" style="0" width="70"/>
  </cols>
  <sheetData>
    <row r="1" customFormat="false" ht="17.35" hidden="false" customHeight="false" outlineLevel="0" collapsed="false">
      <c r="A1" s="1" t="s">
        <v>15</v>
      </c>
    </row>
    <row r="2" customFormat="false" ht="30" hidden="false" customHeight="true" outlineLevel="0" collapsed="false">
      <c r="A2" s="4" t="s">
        <v>16</v>
      </c>
      <c r="B2" s="4"/>
      <c r="C2" s="4"/>
      <c r="D2" s="4"/>
      <c r="E2" s="4"/>
      <c r="F2" s="4"/>
      <c r="G2" s="4"/>
      <c r="H2" s="4"/>
      <c r="I2" s="4"/>
      <c r="J2" s="4"/>
    </row>
    <row r="4" customFormat="false" ht="35.05" hidden="false" customHeight="false" outlineLevel="0" collapsed="false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25</v>
      </c>
      <c r="J4" s="5" t="s">
        <v>26</v>
      </c>
    </row>
    <row r="5" customFormat="false" ht="23.85" hidden="false" customHeight="false" outlineLevel="0" collapsed="false">
      <c r="A5" s="6" t="s">
        <v>27</v>
      </c>
      <c r="B5" s="7" t="n">
        <v>4</v>
      </c>
      <c r="C5" s="7" t="n">
        <v>5</v>
      </c>
      <c r="D5" s="7" t="n">
        <v>4</v>
      </c>
      <c r="E5" s="7" t="n">
        <v>5</v>
      </c>
      <c r="F5" s="8" t="n">
        <f aca="false">B5*C5*D5*E5</f>
        <v>400</v>
      </c>
      <c r="G5" s="6" t="s">
        <v>28</v>
      </c>
      <c r="H5" s="9"/>
      <c r="I5" s="9" t="n">
        <v>23</v>
      </c>
      <c r="J5" s="10" t="s">
        <v>29</v>
      </c>
    </row>
    <row r="6" customFormat="false" ht="23.85" hidden="false" customHeight="false" outlineLevel="0" collapsed="false">
      <c r="A6" s="11" t="s">
        <v>30</v>
      </c>
      <c r="B6" s="7" t="n">
        <v>5</v>
      </c>
      <c r="C6" s="7" t="n">
        <v>2</v>
      </c>
      <c r="D6" s="7" t="n">
        <v>4</v>
      </c>
      <c r="E6" s="7" t="n">
        <v>5</v>
      </c>
      <c r="F6" s="12" t="n">
        <f aca="false">B6*C6*D6*E6</f>
        <v>200</v>
      </c>
      <c r="G6" s="13" t="s">
        <v>31</v>
      </c>
      <c r="H6" s="9"/>
      <c r="I6" s="9" t="n">
        <v>19</v>
      </c>
      <c r="J6" s="10" t="s">
        <v>32</v>
      </c>
    </row>
    <row r="7" customFormat="false" ht="23.85" hidden="false" customHeight="false" outlineLevel="0" collapsed="false">
      <c r="A7" s="11" t="s">
        <v>33</v>
      </c>
      <c r="B7" s="7" t="n">
        <v>4</v>
      </c>
      <c r="C7" s="7" t="n">
        <v>4</v>
      </c>
      <c r="D7" s="7" t="n">
        <v>2</v>
      </c>
      <c r="E7" s="7" t="n">
        <v>5</v>
      </c>
      <c r="F7" s="12" t="n">
        <f aca="false">B7*C7*D7*E7</f>
        <v>160</v>
      </c>
      <c r="G7" s="13" t="s">
        <v>34</v>
      </c>
      <c r="H7" s="9"/>
      <c r="I7" s="9" t="n">
        <v>17</v>
      </c>
      <c r="J7" s="10" t="s">
        <v>35</v>
      </c>
    </row>
    <row r="8" customFormat="false" ht="23.85" hidden="false" customHeight="false" outlineLevel="0" collapsed="false">
      <c r="A8" s="11" t="s">
        <v>36</v>
      </c>
      <c r="B8" s="7" t="n">
        <v>2</v>
      </c>
      <c r="C8" s="7" t="n">
        <v>5</v>
      </c>
      <c r="D8" s="7" t="n">
        <v>3</v>
      </c>
      <c r="E8" s="7" t="n">
        <v>5</v>
      </c>
      <c r="F8" s="12" t="n">
        <f aca="false">B8*C8*D8*E8</f>
        <v>150</v>
      </c>
      <c r="G8" s="13" t="s">
        <v>37</v>
      </c>
      <c r="H8" s="9"/>
      <c r="I8" s="9" t="n">
        <v>20</v>
      </c>
      <c r="J8" s="10" t="s">
        <v>38</v>
      </c>
    </row>
    <row r="9" customFormat="false" ht="23.85" hidden="false" customHeight="false" outlineLevel="0" collapsed="false">
      <c r="A9" s="6" t="s">
        <v>39</v>
      </c>
      <c r="B9" s="7" t="n">
        <v>2</v>
      </c>
      <c r="C9" s="7" t="n">
        <v>3</v>
      </c>
      <c r="D9" s="7" t="n">
        <v>4</v>
      </c>
      <c r="E9" s="7" t="n">
        <v>5</v>
      </c>
      <c r="F9" s="8" t="n">
        <f aca="false">B9*C9*D9*E9</f>
        <v>120</v>
      </c>
      <c r="G9" s="6" t="s">
        <v>40</v>
      </c>
      <c r="H9" s="9"/>
      <c r="I9" s="9" t="n">
        <v>15</v>
      </c>
      <c r="J9" s="10" t="s">
        <v>41</v>
      </c>
    </row>
    <row r="10" customFormat="false" ht="15" hidden="false" customHeight="false" outlineLevel="0" collapsed="false">
      <c r="A10" s="6" t="s">
        <v>42</v>
      </c>
      <c r="B10" s="7" t="n">
        <v>2</v>
      </c>
      <c r="C10" s="7" t="n">
        <v>3</v>
      </c>
      <c r="D10" s="7" t="n">
        <v>3</v>
      </c>
      <c r="E10" s="7" t="n">
        <v>5</v>
      </c>
      <c r="F10" s="8" t="n">
        <f aca="false">B10*C10*D10*E10</f>
        <v>90</v>
      </c>
      <c r="G10" s="6" t="s">
        <v>43</v>
      </c>
      <c r="H10" s="9" t="s">
        <v>44</v>
      </c>
      <c r="I10" s="9"/>
      <c r="J10" s="10" t="s">
        <v>45</v>
      </c>
    </row>
    <row r="11" customFormat="false" ht="23.85" hidden="false" customHeight="false" outlineLevel="0" collapsed="false">
      <c r="A11" s="6" t="s">
        <v>46</v>
      </c>
      <c r="B11" s="7" t="n">
        <v>5</v>
      </c>
      <c r="C11" s="7" t="n">
        <v>1</v>
      </c>
      <c r="D11" s="7" t="n">
        <v>3</v>
      </c>
      <c r="E11" s="7" t="n">
        <v>5</v>
      </c>
      <c r="F11" s="8" t="n">
        <f aca="false">B11*C11*D11*E11</f>
        <v>75</v>
      </c>
      <c r="G11" s="6" t="s">
        <v>47</v>
      </c>
      <c r="H11" s="9"/>
      <c r="I11" s="9" t="n">
        <v>16</v>
      </c>
      <c r="J11" s="10" t="s">
        <v>48</v>
      </c>
    </row>
    <row r="12" customFormat="false" ht="15" hidden="false" customHeight="false" outlineLevel="0" collapsed="false">
      <c r="A12" s="6" t="s">
        <v>49</v>
      </c>
      <c r="B12" s="7" t="n">
        <v>2</v>
      </c>
      <c r="C12" s="7" t="n">
        <v>3</v>
      </c>
      <c r="D12" s="7" t="n">
        <v>3</v>
      </c>
      <c r="E12" s="7" t="n">
        <v>4</v>
      </c>
      <c r="F12" s="8" t="n">
        <f aca="false">B12*C12*D12*E12</f>
        <v>72</v>
      </c>
      <c r="G12" s="6" t="s">
        <v>50</v>
      </c>
      <c r="H12" s="9" t="s">
        <v>44</v>
      </c>
      <c r="I12" s="9" t="n">
        <v>14</v>
      </c>
      <c r="J12" s="10" t="s">
        <v>51</v>
      </c>
    </row>
    <row r="13" customFormat="false" ht="15" hidden="false" customHeight="false" outlineLevel="0" collapsed="false">
      <c r="A13" s="6" t="s">
        <v>52</v>
      </c>
      <c r="B13" s="7" t="n">
        <v>2</v>
      </c>
      <c r="C13" s="7" t="n">
        <v>3</v>
      </c>
      <c r="D13" s="7" t="n">
        <v>3</v>
      </c>
      <c r="E13" s="7" t="n">
        <v>4</v>
      </c>
      <c r="F13" s="8" t="n">
        <f aca="false">B13*C13*D13*E13</f>
        <v>72</v>
      </c>
      <c r="G13" s="6" t="s">
        <v>50</v>
      </c>
      <c r="H13" s="9" t="s">
        <v>44</v>
      </c>
      <c r="I13" s="9" t="n">
        <v>14</v>
      </c>
      <c r="J13" s="10" t="s">
        <v>53</v>
      </c>
    </row>
    <row r="14" customFormat="false" ht="15" hidden="false" customHeight="false" outlineLevel="0" collapsed="false">
      <c r="A14" s="6" t="s">
        <v>54</v>
      </c>
      <c r="B14" s="7" t="n">
        <v>4</v>
      </c>
      <c r="C14" s="7" t="n">
        <v>1</v>
      </c>
      <c r="D14" s="7" t="n">
        <v>3</v>
      </c>
      <c r="E14" s="7" t="n">
        <v>5</v>
      </c>
      <c r="F14" s="8" t="n">
        <f aca="false">B14*C14*D14*E14</f>
        <v>60</v>
      </c>
      <c r="G14" s="6" t="s">
        <v>55</v>
      </c>
      <c r="H14" s="9"/>
      <c r="I14" s="9" t="n">
        <v>13</v>
      </c>
      <c r="J14" s="10" t="s">
        <v>56</v>
      </c>
    </row>
    <row r="15" customFormat="false" ht="15" hidden="false" customHeight="false" outlineLevel="0" collapsed="false">
      <c r="A15" s="6" t="s">
        <v>57</v>
      </c>
      <c r="B15" s="7" t="n">
        <v>3</v>
      </c>
      <c r="C15" s="7" t="n">
        <v>2</v>
      </c>
      <c r="D15" s="7" t="n">
        <v>2</v>
      </c>
      <c r="E15" s="7" t="n">
        <v>4</v>
      </c>
      <c r="F15" s="8" t="n">
        <f aca="false">B15*C15*D15*E15</f>
        <v>48</v>
      </c>
      <c r="G15" s="6" t="s">
        <v>55</v>
      </c>
      <c r="H15" s="9"/>
      <c r="I15" s="9" t="n">
        <v>13</v>
      </c>
      <c r="J15" s="10" t="s">
        <v>58</v>
      </c>
    </row>
    <row r="16" customFormat="false" ht="15" hidden="false" customHeight="false" outlineLevel="0" collapsed="false">
      <c r="A16" s="6" t="s">
        <v>59</v>
      </c>
      <c r="B16" s="7" t="n">
        <v>2</v>
      </c>
      <c r="C16" s="7" t="n">
        <v>2</v>
      </c>
      <c r="D16" s="7" t="n">
        <v>4</v>
      </c>
      <c r="E16" s="7" t="n">
        <v>3</v>
      </c>
      <c r="F16" s="8" t="n">
        <f aca="false">B16*C16*D16*E16</f>
        <v>48</v>
      </c>
      <c r="G16" s="6" t="s">
        <v>60</v>
      </c>
      <c r="H16" s="9"/>
      <c r="I16" s="9" t="n">
        <v>13</v>
      </c>
      <c r="J16" s="10" t="s">
        <v>61</v>
      </c>
    </row>
    <row r="17" customFormat="false" ht="15" hidden="false" customHeight="false" outlineLevel="0" collapsed="false">
      <c r="A17" s="6" t="s">
        <v>62</v>
      </c>
      <c r="B17" s="7" t="n">
        <v>2</v>
      </c>
      <c r="C17" s="7" t="n">
        <v>3</v>
      </c>
      <c r="D17" s="7" t="n">
        <v>2</v>
      </c>
      <c r="E17" s="7" t="n">
        <v>4</v>
      </c>
      <c r="F17" s="8" t="n">
        <f aca="false">B17*C17*D17*E17</f>
        <v>48</v>
      </c>
      <c r="G17" s="6" t="s">
        <v>63</v>
      </c>
      <c r="H17" s="9" t="s">
        <v>44</v>
      </c>
      <c r="I17" s="9"/>
      <c r="J17" s="10" t="s">
        <v>64</v>
      </c>
    </row>
    <row r="18" customFormat="false" ht="15" hidden="false" customHeight="false" outlineLevel="0" collapsed="false">
      <c r="A18" s="6" t="s">
        <v>65</v>
      </c>
      <c r="B18" s="7" t="n">
        <v>1</v>
      </c>
      <c r="C18" s="7" t="n">
        <v>3</v>
      </c>
      <c r="D18" s="7" t="n">
        <v>3</v>
      </c>
      <c r="E18" s="7" t="n">
        <v>5</v>
      </c>
      <c r="F18" s="8" t="n">
        <f aca="false">B18*C18*D18*E18</f>
        <v>45</v>
      </c>
      <c r="G18" s="6" t="s">
        <v>50</v>
      </c>
      <c r="H18" s="9" t="s">
        <v>44</v>
      </c>
      <c r="I18" s="9" t="n">
        <v>14</v>
      </c>
      <c r="J18" s="10" t="s">
        <v>66</v>
      </c>
    </row>
    <row r="19" customFormat="false" ht="15" hidden="false" customHeight="false" outlineLevel="0" collapsed="false">
      <c r="A19" s="6" t="s">
        <v>67</v>
      </c>
      <c r="B19" s="7" t="n">
        <v>2</v>
      </c>
      <c r="C19" s="7" t="n">
        <v>1</v>
      </c>
      <c r="D19" s="7" t="n">
        <v>4</v>
      </c>
      <c r="E19" s="7" t="n">
        <v>5</v>
      </c>
      <c r="F19" s="8" t="n">
        <f aca="false">B19*C19*D19*E19</f>
        <v>40</v>
      </c>
      <c r="G19" s="6" t="s">
        <v>55</v>
      </c>
      <c r="H19" s="9"/>
      <c r="I19" s="9" t="n">
        <v>14</v>
      </c>
      <c r="J19" s="10" t="s">
        <v>68</v>
      </c>
    </row>
    <row r="20" customFormat="false" ht="15" hidden="false" customHeight="false" outlineLevel="0" collapsed="false">
      <c r="A20" s="6" t="s">
        <v>69</v>
      </c>
      <c r="B20" s="7" t="n">
        <v>2</v>
      </c>
      <c r="C20" s="7" t="n">
        <v>3</v>
      </c>
      <c r="D20" s="7" t="n">
        <v>3</v>
      </c>
      <c r="E20" s="7" t="n">
        <v>2</v>
      </c>
      <c r="F20" s="8" t="n">
        <f aca="false">B20*C20*D20*E20</f>
        <v>36</v>
      </c>
      <c r="G20" s="6" t="s">
        <v>55</v>
      </c>
      <c r="H20" s="9" t="s">
        <v>44</v>
      </c>
      <c r="I20" s="9" t="n">
        <v>14</v>
      </c>
      <c r="J20" s="10" t="s">
        <v>70</v>
      </c>
    </row>
    <row r="21" customFormat="false" ht="15" hidden="false" customHeight="false" outlineLevel="0" collapsed="false">
      <c r="A21" s="6" t="s">
        <v>71</v>
      </c>
      <c r="B21" s="7" t="n">
        <v>2</v>
      </c>
      <c r="C21" s="7" t="n">
        <v>1</v>
      </c>
      <c r="D21" s="7" t="n">
        <v>3</v>
      </c>
      <c r="E21" s="7" t="n">
        <v>5</v>
      </c>
      <c r="F21" s="8" t="n">
        <f aca="false">B21*C21*D21*E21</f>
        <v>30</v>
      </c>
      <c r="G21" s="6" t="s">
        <v>55</v>
      </c>
      <c r="H21" s="9"/>
      <c r="I21" s="9" t="n">
        <v>15</v>
      </c>
      <c r="J21" s="10" t="s">
        <v>72</v>
      </c>
    </row>
    <row r="22" customFormat="false" ht="23.85" hidden="false" customHeight="false" outlineLevel="0" collapsed="false">
      <c r="A22" s="6" t="s">
        <v>73</v>
      </c>
      <c r="B22" s="7" t="n">
        <v>5</v>
      </c>
      <c r="C22" s="7" t="n">
        <v>1</v>
      </c>
      <c r="D22" s="7" t="n">
        <v>3</v>
      </c>
      <c r="E22" s="7" t="n">
        <v>2</v>
      </c>
      <c r="F22" s="8" t="n">
        <f aca="false">B22*C22*D22*E22</f>
        <v>30</v>
      </c>
      <c r="G22" s="6" t="s">
        <v>74</v>
      </c>
      <c r="H22" s="9"/>
      <c r="I22" s="9" t="n">
        <v>11</v>
      </c>
      <c r="J22" s="10" t="s">
        <v>75</v>
      </c>
    </row>
    <row r="23" customFormat="false" ht="15" hidden="false" customHeight="false" outlineLevel="0" collapsed="false">
      <c r="A23" s="6" t="s">
        <v>76</v>
      </c>
      <c r="B23" s="7" t="n">
        <v>3</v>
      </c>
      <c r="C23" s="7" t="n">
        <v>3</v>
      </c>
      <c r="D23" s="7" t="n">
        <v>1</v>
      </c>
      <c r="E23" s="7" t="n">
        <v>1</v>
      </c>
      <c r="F23" s="8" t="n">
        <f aca="false">B23*C23*D23*E23</f>
        <v>9</v>
      </c>
      <c r="G23" s="6" t="s">
        <v>55</v>
      </c>
      <c r="H23" s="9" t="s">
        <v>44</v>
      </c>
      <c r="I23" s="9"/>
      <c r="J23" s="10" t="s">
        <v>77</v>
      </c>
    </row>
    <row r="25" customFormat="false" ht="15" hidden="false" customHeight="false" outlineLevel="0" collapsed="false">
      <c r="A25" s="14" t="s">
        <v>78</v>
      </c>
      <c r="F25" s="14" t="n">
        <f aca="false">5*5*5*5</f>
        <v>625</v>
      </c>
    </row>
    <row r="26" customFormat="false" ht="30" hidden="false" customHeight="true" outlineLevel="0" collapsed="false">
      <c r="A26" s="4" t="s">
        <v>79</v>
      </c>
      <c r="B26" s="4"/>
      <c r="C26" s="4"/>
      <c r="D26" s="4"/>
      <c r="E26" s="4"/>
      <c r="F26" s="4"/>
      <c r="G26" s="4"/>
      <c r="H26" s="4"/>
      <c r="I26" s="4"/>
      <c r="J26" s="4"/>
    </row>
  </sheetData>
  <mergeCells count="2">
    <mergeCell ref="A2:J2"/>
    <mergeCell ref="A26:J26"/>
  </mergeCells>
  <dataValidations count="1">
    <dataValidation allowBlank="false" errorStyle="stop" operator="between" showDropDown="false" showErrorMessage="false" showInputMessage="false" sqref="B5:E23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46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80</v>
      </c>
    </row>
    <row r="2" customFormat="false" ht="30" hidden="false" customHeight="true" outlineLevel="0" collapsed="false">
      <c r="A2" s="4" t="s">
        <v>81</v>
      </c>
      <c r="B2" s="4"/>
      <c r="C2" s="4"/>
      <c r="D2" s="4"/>
      <c r="E2" s="4"/>
      <c r="F2" s="4"/>
      <c r="G2" s="4"/>
      <c r="H2" s="4"/>
      <c r="I2" s="4"/>
    </row>
    <row r="4" customFormat="false" ht="23.85" hidden="false" customHeight="false" outlineLevel="0" collapsed="false">
      <c r="A4" s="5" t="s">
        <v>17</v>
      </c>
      <c r="B4" s="5" t="s">
        <v>82</v>
      </c>
      <c r="C4" s="5" t="s">
        <v>83</v>
      </c>
      <c r="D4" s="5" t="s">
        <v>84</v>
      </c>
      <c r="E4" s="5" t="s">
        <v>85</v>
      </c>
      <c r="F4" s="5" t="s">
        <v>86</v>
      </c>
      <c r="G4" s="5" t="s">
        <v>87</v>
      </c>
      <c r="H4" s="5" t="s">
        <v>23</v>
      </c>
      <c r="I4" s="5" t="s">
        <v>88</v>
      </c>
    </row>
    <row r="5" customFormat="false" ht="79.85" hidden="false" customHeight="false" outlineLevel="0" collapsed="false">
      <c r="A5" s="15" t="s">
        <v>36</v>
      </c>
      <c r="B5" s="10" t="s">
        <v>89</v>
      </c>
      <c r="C5" s="10" t="s">
        <v>90</v>
      </c>
      <c r="D5" s="10" t="s">
        <v>91</v>
      </c>
      <c r="E5" s="10" t="s">
        <v>92</v>
      </c>
      <c r="F5" s="10" t="s">
        <v>93</v>
      </c>
      <c r="G5" s="10" t="s">
        <v>94</v>
      </c>
      <c r="H5" s="15" t="s">
        <v>95</v>
      </c>
      <c r="I5" s="10" t="s">
        <v>96</v>
      </c>
    </row>
    <row r="6" customFormat="false" ht="46.25" hidden="false" customHeight="false" outlineLevel="0" collapsed="false">
      <c r="A6" s="15" t="s">
        <v>30</v>
      </c>
      <c r="B6" s="10" t="s">
        <v>97</v>
      </c>
      <c r="C6" s="10" t="s">
        <v>98</v>
      </c>
      <c r="D6" s="10" t="s">
        <v>99</v>
      </c>
      <c r="E6" s="10" t="s">
        <v>100</v>
      </c>
      <c r="F6" s="10" t="s">
        <v>101</v>
      </c>
      <c r="G6" s="10" t="s">
        <v>102</v>
      </c>
      <c r="H6" s="15" t="s">
        <v>103</v>
      </c>
      <c r="I6" s="10" t="s">
        <v>104</v>
      </c>
    </row>
    <row r="7" customFormat="false" ht="68.65" hidden="false" customHeight="false" outlineLevel="0" collapsed="false">
      <c r="A7" s="15" t="s">
        <v>33</v>
      </c>
      <c r="B7" s="10" t="s">
        <v>105</v>
      </c>
      <c r="C7" s="10" t="s">
        <v>106</v>
      </c>
      <c r="D7" s="10" t="s">
        <v>107</v>
      </c>
      <c r="E7" s="10" t="s">
        <v>108</v>
      </c>
      <c r="F7" s="10" t="s">
        <v>109</v>
      </c>
      <c r="G7" s="10" t="s">
        <v>102</v>
      </c>
      <c r="H7" s="15" t="s">
        <v>110</v>
      </c>
      <c r="I7" s="10" t="s">
        <v>111</v>
      </c>
    </row>
    <row r="8" customFormat="false" ht="46.25" hidden="false" customHeight="false" outlineLevel="0" collapsed="false">
      <c r="A8" s="10" t="s">
        <v>46</v>
      </c>
      <c r="B8" s="10" t="s">
        <v>112</v>
      </c>
      <c r="C8" s="10" t="s">
        <v>98</v>
      </c>
      <c r="D8" s="10" t="s">
        <v>113</v>
      </c>
      <c r="E8" s="10" t="s">
        <v>114</v>
      </c>
      <c r="F8" s="10" t="s">
        <v>115</v>
      </c>
      <c r="G8" s="10" t="s">
        <v>116</v>
      </c>
      <c r="H8" s="10" t="s">
        <v>117</v>
      </c>
      <c r="I8" s="10" t="s">
        <v>118</v>
      </c>
    </row>
    <row r="9" customFormat="false" ht="35.05" hidden="false" customHeight="false" outlineLevel="0" collapsed="false">
      <c r="A9" s="10" t="s">
        <v>73</v>
      </c>
      <c r="B9" s="10" t="s">
        <v>119</v>
      </c>
      <c r="C9" s="10" t="s">
        <v>98</v>
      </c>
      <c r="D9" s="10" t="s">
        <v>120</v>
      </c>
      <c r="E9" s="10" t="s">
        <v>121</v>
      </c>
      <c r="F9" s="10" t="s">
        <v>122</v>
      </c>
      <c r="G9" s="10" t="s">
        <v>123</v>
      </c>
      <c r="H9" s="10" t="s">
        <v>124</v>
      </c>
      <c r="I9" s="10" t="s">
        <v>125</v>
      </c>
    </row>
    <row r="10" customFormat="false" ht="23.85" hidden="false" customHeight="false" outlineLevel="0" collapsed="false">
      <c r="A10" s="10" t="s">
        <v>54</v>
      </c>
      <c r="B10" s="10" t="s">
        <v>126</v>
      </c>
      <c r="C10" s="10" t="s">
        <v>98</v>
      </c>
      <c r="D10" s="10" t="s">
        <v>127</v>
      </c>
      <c r="E10" s="10" t="s">
        <v>128</v>
      </c>
      <c r="F10" s="10" t="s">
        <v>129</v>
      </c>
      <c r="G10" s="10" t="s">
        <v>102</v>
      </c>
      <c r="H10" s="10" t="s">
        <v>130</v>
      </c>
      <c r="I10" s="10" t="s">
        <v>131</v>
      </c>
    </row>
    <row r="11" customFormat="false" ht="23.85" hidden="false" customHeight="false" outlineLevel="0" collapsed="false">
      <c r="A11" s="10" t="s">
        <v>39</v>
      </c>
      <c r="B11" s="10" t="s">
        <v>132</v>
      </c>
      <c r="C11" s="10" t="s">
        <v>106</v>
      </c>
      <c r="D11" s="10" t="s">
        <v>133</v>
      </c>
      <c r="E11" s="10" t="s">
        <v>134</v>
      </c>
      <c r="F11" s="10" t="s">
        <v>122</v>
      </c>
      <c r="G11" s="10" t="s">
        <v>102</v>
      </c>
      <c r="H11" s="10" t="s">
        <v>135</v>
      </c>
      <c r="I11" s="10" t="s">
        <v>136</v>
      </c>
    </row>
    <row r="12" customFormat="false" ht="35.05" hidden="false" customHeight="false" outlineLevel="0" collapsed="false">
      <c r="A12" s="10" t="s">
        <v>57</v>
      </c>
      <c r="B12" s="10" t="s">
        <v>137</v>
      </c>
      <c r="C12" s="10" t="s">
        <v>106</v>
      </c>
      <c r="D12" s="10" t="s">
        <v>138</v>
      </c>
      <c r="E12" s="10" t="s">
        <v>139</v>
      </c>
      <c r="F12" s="10" t="s">
        <v>140</v>
      </c>
      <c r="G12" s="10" t="s">
        <v>141</v>
      </c>
      <c r="H12" s="10" t="s">
        <v>130</v>
      </c>
      <c r="I12" s="10" t="s">
        <v>142</v>
      </c>
    </row>
    <row r="13" customFormat="false" ht="35.05" hidden="false" customHeight="false" outlineLevel="0" collapsed="false">
      <c r="A13" s="10" t="s">
        <v>49</v>
      </c>
      <c r="B13" s="10" t="s">
        <v>143</v>
      </c>
      <c r="C13" s="10" t="s">
        <v>106</v>
      </c>
      <c r="D13" s="10" t="s">
        <v>144</v>
      </c>
      <c r="E13" s="10" t="s">
        <v>122</v>
      </c>
      <c r="F13" s="10" t="s">
        <v>145</v>
      </c>
      <c r="G13" s="10" t="s">
        <v>102</v>
      </c>
      <c r="H13" s="10" t="s">
        <v>146</v>
      </c>
      <c r="I13" s="10" t="s">
        <v>147</v>
      </c>
    </row>
    <row r="14" customFormat="false" ht="15" hidden="false" customHeight="false" outlineLevel="0" collapsed="false">
      <c r="A14" s="10" t="s">
        <v>52</v>
      </c>
      <c r="B14" s="10" t="s">
        <v>143</v>
      </c>
      <c r="C14" s="10" t="s">
        <v>106</v>
      </c>
      <c r="D14" s="10" t="s">
        <v>148</v>
      </c>
      <c r="E14" s="10" t="s">
        <v>149</v>
      </c>
      <c r="F14" s="10" t="s">
        <v>150</v>
      </c>
      <c r="G14" s="10" t="s">
        <v>102</v>
      </c>
      <c r="H14" s="10" t="s">
        <v>146</v>
      </c>
      <c r="I14" s="10" t="s">
        <v>151</v>
      </c>
    </row>
    <row r="15" customFormat="false" ht="15" hidden="false" customHeight="false" outlineLevel="0" collapsed="false">
      <c r="A15" s="10" t="s">
        <v>69</v>
      </c>
      <c r="B15" s="10" t="s">
        <v>143</v>
      </c>
      <c r="C15" s="10" t="s">
        <v>106</v>
      </c>
      <c r="D15" s="10" t="s">
        <v>148</v>
      </c>
      <c r="E15" s="10" t="s">
        <v>152</v>
      </c>
      <c r="F15" s="10" t="s">
        <v>153</v>
      </c>
      <c r="G15" s="10" t="s">
        <v>154</v>
      </c>
      <c r="H15" s="10" t="s">
        <v>130</v>
      </c>
      <c r="I15" s="10" t="s">
        <v>151</v>
      </c>
    </row>
    <row r="16" customFormat="false" ht="15" hidden="false" customHeight="false" outlineLevel="0" collapsed="false">
      <c r="A16" s="10" t="s">
        <v>65</v>
      </c>
      <c r="B16" s="10" t="s">
        <v>143</v>
      </c>
      <c r="C16" s="10" t="s">
        <v>106</v>
      </c>
      <c r="D16" s="10" t="s">
        <v>148</v>
      </c>
      <c r="E16" s="10" t="s">
        <v>155</v>
      </c>
      <c r="F16" s="10" t="s">
        <v>156</v>
      </c>
      <c r="G16" s="10" t="s">
        <v>102</v>
      </c>
      <c r="H16" s="10" t="s">
        <v>146</v>
      </c>
      <c r="I16" s="10" t="s">
        <v>151</v>
      </c>
    </row>
    <row r="17" customFormat="false" ht="23.85" hidden="false" customHeight="false" outlineLevel="0" collapsed="false">
      <c r="A17" s="10" t="s">
        <v>59</v>
      </c>
      <c r="B17" s="10" t="s">
        <v>137</v>
      </c>
      <c r="C17" s="10" t="s">
        <v>106</v>
      </c>
      <c r="D17" s="10" t="s">
        <v>157</v>
      </c>
      <c r="E17" s="10" t="s">
        <v>158</v>
      </c>
      <c r="F17" s="10" t="s">
        <v>122</v>
      </c>
      <c r="G17" s="10" t="s">
        <v>159</v>
      </c>
      <c r="H17" s="10" t="s">
        <v>160</v>
      </c>
      <c r="I17" s="10" t="s">
        <v>151</v>
      </c>
    </row>
    <row r="18" customFormat="false" ht="15" hidden="false" customHeight="false" outlineLevel="0" collapsed="false">
      <c r="A18" s="10" t="s">
        <v>71</v>
      </c>
      <c r="B18" s="10" t="s">
        <v>137</v>
      </c>
      <c r="C18" s="10" t="s">
        <v>106</v>
      </c>
      <c r="D18" s="10" t="s">
        <v>161</v>
      </c>
      <c r="E18" s="10" t="s">
        <v>121</v>
      </c>
      <c r="F18" s="10" t="s">
        <v>162</v>
      </c>
      <c r="G18" s="10" t="s">
        <v>102</v>
      </c>
      <c r="H18" s="10" t="s">
        <v>130</v>
      </c>
      <c r="I18" s="10" t="s">
        <v>163</v>
      </c>
    </row>
    <row r="19" customFormat="false" ht="15" hidden="false" customHeight="false" outlineLevel="0" collapsed="false">
      <c r="A19" s="10" t="s">
        <v>67</v>
      </c>
      <c r="B19" s="10" t="s">
        <v>137</v>
      </c>
      <c r="C19" s="10" t="s">
        <v>106</v>
      </c>
      <c r="D19" s="10" t="s">
        <v>164</v>
      </c>
      <c r="E19" s="10" t="s">
        <v>165</v>
      </c>
      <c r="F19" s="10" t="s">
        <v>121</v>
      </c>
      <c r="G19" s="10" t="s">
        <v>102</v>
      </c>
      <c r="H19" s="10" t="s">
        <v>130</v>
      </c>
      <c r="I19" s="10" t="s">
        <v>151</v>
      </c>
    </row>
    <row r="20" customFormat="false" ht="23.85" hidden="false" customHeight="false" outlineLevel="0" collapsed="false">
      <c r="A20" s="10" t="s">
        <v>42</v>
      </c>
      <c r="B20" s="10" t="s">
        <v>148</v>
      </c>
      <c r="C20" s="10" t="s">
        <v>163</v>
      </c>
      <c r="D20" s="10" t="s">
        <v>166</v>
      </c>
      <c r="E20" s="10" t="s">
        <v>167</v>
      </c>
      <c r="F20" s="10" t="s">
        <v>121</v>
      </c>
      <c r="G20" s="10" t="s">
        <v>102</v>
      </c>
      <c r="H20" s="10" t="s">
        <v>168</v>
      </c>
      <c r="I20" s="10" t="s">
        <v>151</v>
      </c>
    </row>
    <row r="21" customFormat="false" ht="15" hidden="false" customHeight="false" outlineLevel="0" collapsed="false">
      <c r="A21" s="10" t="s">
        <v>62</v>
      </c>
      <c r="B21" s="10" t="s">
        <v>169</v>
      </c>
      <c r="C21" s="10" t="s">
        <v>163</v>
      </c>
      <c r="D21" s="10" t="s">
        <v>169</v>
      </c>
      <c r="E21" s="10" t="s">
        <v>121</v>
      </c>
      <c r="F21" s="10" t="s">
        <v>121</v>
      </c>
      <c r="G21" s="10" t="s">
        <v>170</v>
      </c>
      <c r="H21" s="10" t="s">
        <v>130</v>
      </c>
      <c r="I21" s="10" t="s">
        <v>163</v>
      </c>
    </row>
    <row r="22" customFormat="false" ht="23.85" hidden="false" customHeight="false" outlineLevel="0" collapsed="false">
      <c r="A22" s="10" t="s">
        <v>76</v>
      </c>
      <c r="B22" s="10" t="s">
        <v>148</v>
      </c>
      <c r="C22" s="10" t="s">
        <v>163</v>
      </c>
      <c r="D22" s="10" t="s">
        <v>148</v>
      </c>
      <c r="E22" s="10" t="s">
        <v>121</v>
      </c>
      <c r="F22" s="10" t="s">
        <v>121</v>
      </c>
      <c r="G22" s="10" t="s">
        <v>171</v>
      </c>
      <c r="H22" s="10" t="s">
        <v>130</v>
      </c>
      <c r="I22" s="10" t="s">
        <v>172</v>
      </c>
    </row>
    <row r="23" customFormat="false" ht="35.05" hidden="false" customHeight="false" outlineLevel="0" collapsed="false">
      <c r="A23" s="10" t="s">
        <v>173</v>
      </c>
      <c r="B23" s="10" t="s">
        <v>174</v>
      </c>
      <c r="C23" s="10" t="s">
        <v>98</v>
      </c>
      <c r="D23" s="10" t="s">
        <v>175</v>
      </c>
      <c r="E23" s="10" t="s">
        <v>121</v>
      </c>
      <c r="F23" s="10" t="s">
        <v>121</v>
      </c>
      <c r="G23" s="10" t="s">
        <v>176</v>
      </c>
      <c r="H23" s="10" t="s">
        <v>177</v>
      </c>
      <c r="I23" s="10" t="s">
        <v>178</v>
      </c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4" min="3" style="0" width="16"/>
    <col collapsed="false" customWidth="true" hidden="false" outlineLevel="0" max="6" min="5" style="0" width="15"/>
    <col collapsed="false" customWidth="true" hidden="false" outlineLevel="0" max="8" min="7" style="0" width="17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1" t="s">
        <v>179</v>
      </c>
    </row>
    <row r="2" customFormat="false" ht="42" hidden="false" customHeight="true" outlineLevel="0" collapsed="false">
      <c r="A2" s="4" t="s">
        <v>180</v>
      </c>
      <c r="B2" s="4"/>
      <c r="C2" s="4"/>
      <c r="D2" s="4"/>
      <c r="E2" s="4"/>
      <c r="F2" s="4"/>
      <c r="G2" s="4"/>
      <c r="H2" s="4"/>
      <c r="I2" s="4"/>
    </row>
    <row r="4" customFormat="false" ht="15" hidden="false" customHeight="false" outlineLevel="0" collapsed="false">
      <c r="A4" s="2" t="s">
        <v>181</v>
      </c>
      <c r="B4" s="16" t="n">
        <v>7.5</v>
      </c>
    </row>
    <row r="5" customFormat="false" ht="15" hidden="false" customHeight="false" outlineLevel="0" collapsed="false">
      <c r="A5" s="2" t="s">
        <v>182</v>
      </c>
      <c r="B5" s="16" t="n">
        <v>17.95</v>
      </c>
    </row>
    <row r="6" customFormat="false" ht="15" hidden="false" customHeight="false" outlineLevel="0" collapsed="false">
      <c r="A6" s="2" t="s">
        <v>183</v>
      </c>
      <c r="B6" s="16" t="n">
        <v>19.95</v>
      </c>
    </row>
    <row r="7" customFormat="false" ht="15" hidden="false" customHeight="false" outlineLevel="0" collapsed="false">
      <c r="A7" s="2" t="s">
        <v>184</v>
      </c>
      <c r="B7" s="17" t="n">
        <v>50</v>
      </c>
    </row>
    <row r="9" customFormat="false" ht="23.85" hidden="false" customHeight="false" outlineLevel="0" collapsed="false">
      <c r="A9" s="5" t="s">
        <v>17</v>
      </c>
      <c r="B9" s="5" t="s">
        <v>185</v>
      </c>
      <c r="C9" s="5" t="s">
        <v>186</v>
      </c>
      <c r="D9" s="5" t="s">
        <v>187</v>
      </c>
      <c r="E9" s="5" t="s">
        <v>188</v>
      </c>
      <c r="F9" s="5" t="s">
        <v>189</v>
      </c>
      <c r="G9" s="5" t="s">
        <v>190</v>
      </c>
      <c r="H9" s="5" t="s">
        <v>191</v>
      </c>
      <c r="I9" s="5" t="s">
        <v>192</v>
      </c>
    </row>
    <row r="10" customFormat="false" ht="15" hidden="false" customHeight="false" outlineLevel="0" collapsed="false">
      <c r="A10" s="18" t="s">
        <v>193</v>
      </c>
      <c r="B10" s="19" t="n">
        <v>0.21</v>
      </c>
      <c r="C10" s="20" t="n">
        <f aca="false">$B$5/(1+B10)</f>
        <v>14.8347107438017</v>
      </c>
      <c r="D10" s="20" t="n">
        <f aca="false">$B$6/(1+B10)</f>
        <v>16.4876033057851</v>
      </c>
      <c r="E10" s="20" t="n">
        <f aca="false">C10-$B$4</f>
        <v>7.33471074380165</v>
      </c>
      <c r="F10" s="20" t="n">
        <f aca="false">D10-$B$4</f>
        <v>8.98760330578513</v>
      </c>
      <c r="G10" s="20" t="n">
        <f aca="false">E10*$B$7</f>
        <v>366.735537190083</v>
      </c>
      <c r="H10" s="20" t="n">
        <f aca="false">F10*$B$7</f>
        <v>449.380165289256</v>
      </c>
      <c r="I10" s="21" t="n">
        <f aca="false">IF(C10=0,0,E10/C10)</f>
        <v>0.494428969359331</v>
      </c>
    </row>
    <row r="11" customFormat="false" ht="15" hidden="false" customHeight="false" outlineLevel="0" collapsed="false">
      <c r="A11" s="18" t="s">
        <v>36</v>
      </c>
      <c r="B11" s="19" t="n">
        <v>0.23</v>
      </c>
      <c r="C11" s="20" t="n">
        <f aca="false">$B$5/(1+B11)</f>
        <v>14.5934959349594</v>
      </c>
      <c r="D11" s="20" t="n">
        <f aca="false">$B$6/(1+B11)</f>
        <v>16.219512195122</v>
      </c>
      <c r="E11" s="20" t="n">
        <f aca="false">C11-$B$4</f>
        <v>7.09349593495935</v>
      </c>
      <c r="F11" s="20" t="n">
        <f aca="false">D11-$B$4</f>
        <v>8.71951219512195</v>
      </c>
      <c r="G11" s="20" t="n">
        <f aca="false">E11*$B$7</f>
        <v>354.674796747968</v>
      </c>
      <c r="H11" s="20" t="n">
        <f aca="false">F11*$B$7</f>
        <v>435.975609756098</v>
      </c>
      <c r="I11" s="21" t="n">
        <f aca="false">IF(C11=0,0,E11/C11)</f>
        <v>0.486072423398329</v>
      </c>
    </row>
    <row r="12" customFormat="false" ht="15" hidden="false" customHeight="false" outlineLevel="0" collapsed="false">
      <c r="A12" s="18" t="s">
        <v>30</v>
      </c>
      <c r="B12" s="19" t="n">
        <v>0.2</v>
      </c>
      <c r="C12" s="20" t="n">
        <f aca="false">$B$5/(1+B12)</f>
        <v>14.9583333333333</v>
      </c>
      <c r="D12" s="20" t="n">
        <f aca="false">$B$6/(1+B12)</f>
        <v>16.625</v>
      </c>
      <c r="E12" s="20" t="n">
        <f aca="false">C12-$B$4</f>
        <v>7.45833333333333</v>
      </c>
      <c r="F12" s="20" t="n">
        <f aca="false">D12-$B$4</f>
        <v>9.125</v>
      </c>
      <c r="G12" s="20" t="n">
        <f aca="false">E12*$B$7</f>
        <v>372.916666666667</v>
      </c>
      <c r="H12" s="20" t="n">
        <f aca="false">F12*$B$7</f>
        <v>456.25</v>
      </c>
      <c r="I12" s="21" t="n">
        <f aca="false">IF(C12=0,0,E12/C12)</f>
        <v>0.498607242339833</v>
      </c>
    </row>
    <row r="13" customFormat="false" ht="15" hidden="false" customHeight="false" outlineLevel="0" collapsed="false">
      <c r="A13" s="18" t="s">
        <v>33</v>
      </c>
      <c r="B13" s="19" t="n">
        <v>0.22</v>
      </c>
      <c r="C13" s="20" t="n">
        <f aca="false">$B$5/(1+B13)</f>
        <v>14.7131147540984</v>
      </c>
      <c r="D13" s="20" t="n">
        <f aca="false">$B$6/(1+B13)</f>
        <v>16.3524590163934</v>
      </c>
      <c r="E13" s="20" t="n">
        <f aca="false">C13-$B$4</f>
        <v>7.21311475409836</v>
      </c>
      <c r="F13" s="20" t="n">
        <f aca="false">D13-$B$4</f>
        <v>8.85245901639344</v>
      </c>
      <c r="G13" s="20" t="n">
        <f aca="false">E13*$B$7</f>
        <v>360.655737704918</v>
      </c>
      <c r="H13" s="20" t="n">
        <f aca="false">F13*$B$7</f>
        <v>442.622950819672</v>
      </c>
      <c r="I13" s="21" t="n">
        <f aca="false">IF(C13=0,0,E13/C13)</f>
        <v>0.49025069637883</v>
      </c>
    </row>
    <row r="14" customFormat="false" ht="15" hidden="false" customHeight="false" outlineLevel="0" collapsed="false">
      <c r="A14" s="18" t="s">
        <v>39</v>
      </c>
      <c r="B14" s="19" t="n">
        <v>0.21</v>
      </c>
      <c r="C14" s="20" t="n">
        <f aca="false">$B$5/(1+B14)</f>
        <v>14.8347107438017</v>
      </c>
      <c r="D14" s="20" t="n">
        <f aca="false">$B$6/(1+B14)</f>
        <v>16.4876033057851</v>
      </c>
      <c r="E14" s="20" t="n">
        <f aca="false">C14-$B$4</f>
        <v>7.33471074380165</v>
      </c>
      <c r="F14" s="20" t="n">
        <f aca="false">D14-$B$4</f>
        <v>8.98760330578513</v>
      </c>
      <c r="G14" s="20" t="n">
        <f aca="false">E14*$B$7</f>
        <v>366.735537190083</v>
      </c>
      <c r="H14" s="20" t="n">
        <f aca="false">F14*$B$7</f>
        <v>449.380165289256</v>
      </c>
      <c r="I14" s="21" t="n">
        <f aca="false">IF(C14=0,0,E14/C14)</f>
        <v>0.494428969359331</v>
      </c>
    </row>
    <row r="15" customFormat="false" ht="15" hidden="false" customHeight="false" outlineLevel="0" collapsed="false">
      <c r="A15" s="18" t="s">
        <v>46</v>
      </c>
      <c r="B15" s="19" t="n">
        <v>0.19</v>
      </c>
      <c r="C15" s="20" t="n">
        <f aca="false">$B$5/(1+B15)</f>
        <v>15.0840336134454</v>
      </c>
      <c r="D15" s="20" t="n">
        <f aca="false">$B$6/(1+B15)</f>
        <v>16.7647058823529</v>
      </c>
      <c r="E15" s="20" t="n">
        <f aca="false">C15-$B$4</f>
        <v>7.58403361344538</v>
      </c>
      <c r="F15" s="20" t="n">
        <f aca="false">D15-$B$4</f>
        <v>9.26470588235294</v>
      </c>
      <c r="G15" s="20" t="n">
        <f aca="false">E15*$B$7</f>
        <v>379.201680672269</v>
      </c>
      <c r="H15" s="20" t="n">
        <f aca="false">F15*$B$7</f>
        <v>463.235294117647</v>
      </c>
      <c r="I15" s="21" t="n">
        <f aca="false">IF(C15=0,0,E15/C15)</f>
        <v>0.502785515320334</v>
      </c>
    </row>
    <row r="17" customFormat="false" ht="27.75" hidden="false" customHeight="true" outlineLevel="0" collapsed="false">
      <c r="A17" s="4" t="s">
        <v>194</v>
      </c>
      <c r="B17" s="4"/>
      <c r="C17" s="4"/>
      <c r="D17" s="4"/>
      <c r="E17" s="4"/>
      <c r="F17" s="4"/>
      <c r="G17" s="4"/>
      <c r="H17" s="4"/>
      <c r="I17" s="4"/>
    </row>
    <row r="18" customFormat="false" ht="27.75" hidden="false" customHeight="true" outlineLevel="0" collapsed="false">
      <c r="A18" s="4" t="s">
        <v>195</v>
      </c>
      <c r="B18" s="4"/>
      <c r="C18" s="4"/>
      <c r="D18" s="4"/>
      <c r="E18" s="4"/>
      <c r="F18" s="4"/>
      <c r="G18" s="4"/>
      <c r="H18" s="4"/>
      <c r="I18" s="4"/>
    </row>
  </sheetData>
  <mergeCells count="3">
    <mergeCell ref="A2:I2"/>
    <mergeCell ref="A17:I17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70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30"/>
    <col collapsed="false" customWidth="true" hidden="false" outlineLevel="0" max="13" min="13" style="0" width="22"/>
  </cols>
  <sheetData>
    <row r="1" customFormat="false" ht="17.35" hidden="false" customHeight="false" outlineLevel="0" collapsed="false">
      <c r="A1" s="1" t="s">
        <v>196</v>
      </c>
    </row>
    <row r="2" customFormat="false" ht="42" hidden="false" customHeight="true" outlineLevel="0" collapsed="false">
      <c r="A2" s="4" t="s">
        <v>197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4" customFormat="false" ht="15" hidden="false" customHeight="false" outlineLevel="0" collapsed="false">
      <c r="A4" s="5" t="s">
        <v>198</v>
      </c>
      <c r="B4" s="5" t="s">
        <v>17</v>
      </c>
      <c r="C4" s="5" t="s">
        <v>199</v>
      </c>
      <c r="D4" s="5" t="s">
        <v>200</v>
      </c>
      <c r="E4" s="5" t="s">
        <v>201</v>
      </c>
      <c r="F4" s="5" t="s">
        <v>202</v>
      </c>
      <c r="G4" s="5" t="s">
        <v>203</v>
      </c>
      <c r="H4" s="5" t="s">
        <v>204</v>
      </c>
      <c r="I4" s="5" t="s">
        <v>205</v>
      </c>
      <c r="J4" s="5" t="s">
        <v>206</v>
      </c>
      <c r="K4" s="5" t="s">
        <v>207</v>
      </c>
      <c r="L4" s="5" t="s">
        <v>208</v>
      </c>
      <c r="M4" s="5" t="s">
        <v>209</v>
      </c>
    </row>
    <row r="5" customFormat="false" ht="57.45" hidden="false" customHeight="false" outlineLevel="0" collapsed="false">
      <c r="A5" s="22" t="n">
        <v>23</v>
      </c>
      <c r="B5" s="10" t="s">
        <v>210</v>
      </c>
      <c r="C5" s="10" t="s">
        <v>211</v>
      </c>
      <c r="D5" s="10" t="s">
        <v>212</v>
      </c>
      <c r="E5" s="10" t="s">
        <v>213</v>
      </c>
      <c r="F5" s="10" t="n">
        <v>1.5</v>
      </c>
      <c r="G5" s="10" t="s">
        <v>214</v>
      </c>
      <c r="H5" s="23" t="n">
        <v>46300</v>
      </c>
      <c r="I5" s="23" t="n">
        <v>46316</v>
      </c>
      <c r="J5" s="24"/>
      <c r="K5" s="25"/>
      <c r="L5" s="24"/>
      <c r="M5" s="10" t="s">
        <v>215</v>
      </c>
    </row>
    <row r="6" customFormat="false" ht="23.85" hidden="false" customHeight="false" outlineLevel="0" collapsed="false">
      <c r="A6" s="22" t="n">
        <v>44</v>
      </c>
      <c r="B6" s="10" t="s">
        <v>210</v>
      </c>
      <c r="C6" s="10" t="s">
        <v>211</v>
      </c>
      <c r="D6" s="10" t="s">
        <v>216</v>
      </c>
      <c r="E6" s="10" t="s">
        <v>213</v>
      </c>
      <c r="F6" s="10" t="n">
        <v>0</v>
      </c>
      <c r="G6" s="10" t="s">
        <v>217</v>
      </c>
      <c r="H6" s="23" t="n">
        <v>46300</v>
      </c>
      <c r="I6" s="23" t="n">
        <v>46316</v>
      </c>
      <c r="J6" s="24"/>
      <c r="K6" s="25"/>
      <c r="L6" s="24"/>
      <c r="M6" s="10" t="s">
        <v>218</v>
      </c>
    </row>
    <row r="7" customFormat="false" ht="35.05" hidden="false" customHeight="false" outlineLevel="0" collapsed="false">
      <c r="A7" s="22" t="n">
        <v>45</v>
      </c>
      <c r="B7" s="10" t="s">
        <v>219</v>
      </c>
      <c r="C7" s="10" t="s">
        <v>220</v>
      </c>
      <c r="D7" s="10" t="s">
        <v>221</v>
      </c>
      <c r="E7" s="10" t="s">
        <v>213</v>
      </c>
      <c r="F7" s="10" t="n">
        <v>0.25</v>
      </c>
      <c r="G7" s="10" t="s">
        <v>217</v>
      </c>
      <c r="H7" s="23" t="n">
        <v>46300</v>
      </c>
      <c r="I7" s="23" t="n">
        <v>46304</v>
      </c>
      <c r="J7" s="24"/>
      <c r="K7" s="25"/>
      <c r="L7" s="24"/>
      <c r="M7" s="10" t="s">
        <v>218</v>
      </c>
    </row>
    <row r="8" customFormat="false" ht="35.05" hidden="false" customHeight="false" outlineLevel="0" collapsed="false">
      <c r="A8" s="22" t="n">
        <v>46</v>
      </c>
      <c r="B8" s="10" t="s">
        <v>210</v>
      </c>
      <c r="C8" s="10" t="s">
        <v>222</v>
      </c>
      <c r="D8" s="10" t="s">
        <v>223</v>
      </c>
      <c r="E8" s="10" t="s">
        <v>224</v>
      </c>
      <c r="F8" s="10" t="n">
        <v>1.5</v>
      </c>
      <c r="G8" s="10" t="s">
        <v>225</v>
      </c>
      <c r="H8" s="23" t="n">
        <v>46300</v>
      </c>
      <c r="I8" s="23" t="n">
        <v>46311</v>
      </c>
      <c r="J8" s="24"/>
      <c r="K8" s="25"/>
      <c r="L8" s="24"/>
      <c r="M8" s="10" t="s">
        <v>218</v>
      </c>
    </row>
    <row r="9" customFormat="false" ht="46.25" hidden="false" customHeight="false" outlineLevel="0" collapsed="false">
      <c r="A9" s="22" t="n">
        <v>47</v>
      </c>
      <c r="B9" s="10" t="s">
        <v>210</v>
      </c>
      <c r="C9" s="10" t="s">
        <v>226</v>
      </c>
      <c r="D9" s="10" t="s">
        <v>227</v>
      </c>
      <c r="E9" s="10" t="s">
        <v>228</v>
      </c>
      <c r="F9" s="10" t="n">
        <v>2</v>
      </c>
      <c r="G9" s="10" t="s">
        <v>214</v>
      </c>
      <c r="H9" s="23" t="n">
        <v>46307</v>
      </c>
      <c r="I9" s="23" t="n">
        <v>46325</v>
      </c>
      <c r="J9" s="24"/>
      <c r="K9" s="25"/>
      <c r="L9" s="24"/>
      <c r="M9" s="10" t="s">
        <v>218</v>
      </c>
    </row>
    <row r="10" customFormat="false" ht="23.85" hidden="false" customHeight="false" outlineLevel="0" collapsed="false">
      <c r="A10" s="22" t="n">
        <v>36</v>
      </c>
      <c r="B10" s="10" t="s">
        <v>229</v>
      </c>
      <c r="C10" s="10" t="s">
        <v>230</v>
      </c>
      <c r="D10" s="10" t="s">
        <v>231</v>
      </c>
      <c r="E10" s="10" t="s">
        <v>224</v>
      </c>
      <c r="F10" s="10" t="n">
        <v>1.5</v>
      </c>
      <c r="G10" s="10" t="s">
        <v>217</v>
      </c>
      <c r="H10" s="23" t="n">
        <v>46307</v>
      </c>
      <c r="I10" s="23" t="n">
        <v>46318</v>
      </c>
      <c r="J10" s="24"/>
      <c r="K10" s="25"/>
      <c r="L10" s="24"/>
      <c r="M10" s="10" t="s">
        <v>232</v>
      </c>
    </row>
    <row r="11" customFormat="false" ht="46.25" hidden="false" customHeight="false" outlineLevel="0" collapsed="false">
      <c r="A11" s="22" t="n">
        <v>40</v>
      </c>
      <c r="B11" s="10" t="s">
        <v>233</v>
      </c>
      <c r="C11" s="10" t="s">
        <v>234</v>
      </c>
      <c r="D11" s="10" t="s">
        <v>235</v>
      </c>
      <c r="E11" s="10" t="s">
        <v>213</v>
      </c>
      <c r="F11" s="10" t="n">
        <v>1.5</v>
      </c>
      <c r="G11" s="10" t="s">
        <v>214</v>
      </c>
      <c r="H11" s="23" t="n">
        <v>46307</v>
      </c>
      <c r="I11" s="23" t="n">
        <v>46339</v>
      </c>
      <c r="J11" s="24"/>
      <c r="K11" s="25"/>
      <c r="L11" s="24"/>
      <c r="M11" s="10" t="s">
        <v>236</v>
      </c>
    </row>
    <row r="12" customFormat="false" ht="35.05" hidden="false" customHeight="false" outlineLevel="0" collapsed="false">
      <c r="A12" s="22" t="n">
        <v>48</v>
      </c>
      <c r="B12" s="10" t="s">
        <v>233</v>
      </c>
      <c r="C12" s="10" t="s">
        <v>237</v>
      </c>
      <c r="D12" s="10" t="s">
        <v>238</v>
      </c>
      <c r="E12" s="10" t="s">
        <v>228</v>
      </c>
      <c r="F12" s="10" t="n">
        <v>1.5</v>
      </c>
      <c r="G12" s="10" t="s">
        <v>217</v>
      </c>
      <c r="H12" s="23" t="n">
        <v>46314</v>
      </c>
      <c r="I12" s="23" t="n">
        <v>46339</v>
      </c>
      <c r="J12" s="24"/>
      <c r="K12" s="25"/>
      <c r="L12" s="24"/>
      <c r="M12" s="10" t="s">
        <v>218</v>
      </c>
    </row>
    <row r="13" customFormat="false" ht="23.85" hidden="false" customHeight="false" outlineLevel="0" collapsed="false">
      <c r="A13" s="22" t="n">
        <v>22</v>
      </c>
      <c r="B13" s="10" t="s">
        <v>239</v>
      </c>
      <c r="C13" s="10" t="s">
        <v>240</v>
      </c>
      <c r="D13" s="10" t="s">
        <v>241</v>
      </c>
      <c r="E13" s="10" t="s">
        <v>228</v>
      </c>
      <c r="F13" s="10" t="n">
        <v>1</v>
      </c>
      <c r="G13" s="10" t="s">
        <v>214</v>
      </c>
      <c r="H13" s="23" t="n">
        <v>46307</v>
      </c>
      <c r="I13" s="23" t="n">
        <v>46311</v>
      </c>
      <c r="J13" s="24"/>
      <c r="K13" s="25"/>
      <c r="L13" s="24"/>
      <c r="M13" s="10" t="s">
        <v>242</v>
      </c>
    </row>
    <row r="14" customFormat="false" ht="23.85" hidden="false" customHeight="false" outlineLevel="0" collapsed="false">
      <c r="A14" s="22" t="n">
        <v>49</v>
      </c>
      <c r="B14" s="10" t="s">
        <v>233</v>
      </c>
      <c r="C14" s="10" t="s">
        <v>243</v>
      </c>
      <c r="D14" s="10" t="s">
        <v>244</v>
      </c>
      <c r="E14" s="10" t="s">
        <v>224</v>
      </c>
      <c r="F14" s="10" t="n">
        <v>0.5</v>
      </c>
      <c r="G14" s="10" t="s">
        <v>225</v>
      </c>
      <c r="H14" s="23" t="n">
        <v>46314</v>
      </c>
      <c r="I14" s="23" t="n">
        <v>46318</v>
      </c>
      <c r="J14" s="24"/>
      <c r="K14" s="25"/>
      <c r="L14" s="24"/>
      <c r="M14" s="10" t="s">
        <v>218</v>
      </c>
    </row>
    <row r="15" customFormat="false" ht="35.05" hidden="false" customHeight="false" outlineLevel="0" collapsed="false">
      <c r="A15" s="22" t="n">
        <v>50</v>
      </c>
      <c r="B15" s="10" t="s">
        <v>233</v>
      </c>
      <c r="C15" s="10" t="s">
        <v>245</v>
      </c>
      <c r="D15" s="10" t="s">
        <v>246</v>
      </c>
      <c r="E15" s="10" t="s">
        <v>228</v>
      </c>
      <c r="F15" s="10" t="n">
        <v>1</v>
      </c>
      <c r="G15" s="10" t="s">
        <v>217</v>
      </c>
      <c r="H15" s="23" t="n">
        <v>46328</v>
      </c>
      <c r="I15" s="23" t="n">
        <v>46353</v>
      </c>
      <c r="J15" s="24"/>
      <c r="K15" s="25"/>
      <c r="L15" s="24"/>
      <c r="M15" s="10" t="s">
        <v>218</v>
      </c>
    </row>
    <row r="16" customFormat="false" ht="35.05" hidden="false" customHeight="false" outlineLevel="0" collapsed="false">
      <c r="A16" s="22" t="n">
        <v>51</v>
      </c>
      <c r="B16" s="10" t="s">
        <v>247</v>
      </c>
      <c r="C16" s="10" t="s">
        <v>248</v>
      </c>
      <c r="D16" s="10" t="s">
        <v>249</v>
      </c>
      <c r="E16" s="10" t="s">
        <v>213</v>
      </c>
      <c r="F16" s="10" t="n">
        <v>1.5</v>
      </c>
      <c r="G16" s="10" t="s">
        <v>214</v>
      </c>
      <c r="H16" s="23" t="n">
        <v>46321</v>
      </c>
      <c r="I16" s="23" t="n">
        <v>46353</v>
      </c>
      <c r="J16" s="24"/>
      <c r="K16" s="25"/>
      <c r="L16" s="24"/>
      <c r="M16" s="10" t="s">
        <v>218</v>
      </c>
    </row>
    <row r="17" customFormat="false" ht="23.85" hidden="false" customHeight="false" outlineLevel="0" collapsed="false">
      <c r="A17" s="22" t="n">
        <v>52</v>
      </c>
      <c r="B17" s="10" t="s">
        <v>247</v>
      </c>
      <c r="C17" s="10" t="s">
        <v>250</v>
      </c>
      <c r="D17" s="10" t="s">
        <v>251</v>
      </c>
      <c r="E17" s="10" t="s">
        <v>228</v>
      </c>
      <c r="F17" s="10" t="n">
        <v>1.5</v>
      </c>
      <c r="G17" s="10" t="s">
        <v>217</v>
      </c>
      <c r="H17" s="23" t="n">
        <v>46335</v>
      </c>
      <c r="I17" s="23" t="n">
        <v>46353</v>
      </c>
      <c r="J17" s="24"/>
      <c r="K17" s="25"/>
      <c r="L17" s="24"/>
      <c r="M17" s="10" t="s">
        <v>218</v>
      </c>
    </row>
    <row r="18" customFormat="false" ht="23.85" hidden="false" customHeight="false" outlineLevel="0" collapsed="false">
      <c r="A18" s="22" t="n">
        <v>53</v>
      </c>
      <c r="B18" s="10" t="s">
        <v>247</v>
      </c>
      <c r="C18" s="10" t="s">
        <v>252</v>
      </c>
      <c r="D18" s="10" t="s">
        <v>253</v>
      </c>
      <c r="E18" s="10" t="s">
        <v>224</v>
      </c>
      <c r="F18" s="10" t="n">
        <v>1</v>
      </c>
      <c r="G18" s="10" t="s">
        <v>217</v>
      </c>
      <c r="H18" s="23" t="n">
        <v>46335</v>
      </c>
      <c r="I18" s="23" t="n">
        <v>46346</v>
      </c>
      <c r="J18" s="24"/>
      <c r="K18" s="25"/>
      <c r="L18" s="24"/>
      <c r="M18" s="10" t="s">
        <v>218</v>
      </c>
    </row>
    <row r="19" customFormat="false" ht="15" hidden="false" customHeight="false" outlineLevel="0" collapsed="false">
      <c r="A19" s="22" t="n">
        <v>54</v>
      </c>
      <c r="B19" s="10" t="s">
        <v>247</v>
      </c>
      <c r="C19" s="10" t="s">
        <v>254</v>
      </c>
      <c r="D19" s="10" t="s">
        <v>255</v>
      </c>
      <c r="E19" s="10" t="s">
        <v>224</v>
      </c>
      <c r="F19" s="10" t="n">
        <v>0.5</v>
      </c>
      <c r="G19" s="10" t="s">
        <v>225</v>
      </c>
      <c r="H19" s="23" t="n">
        <v>46342</v>
      </c>
      <c r="I19" s="23" t="n">
        <v>46346</v>
      </c>
      <c r="J19" s="24"/>
      <c r="K19" s="25"/>
      <c r="L19" s="24"/>
      <c r="M19" s="10" t="s">
        <v>218</v>
      </c>
    </row>
    <row r="20" customFormat="false" ht="23.85" hidden="false" customHeight="false" outlineLevel="0" collapsed="false">
      <c r="A20" s="22" t="n">
        <v>55</v>
      </c>
      <c r="B20" s="10" t="s">
        <v>247</v>
      </c>
      <c r="C20" s="10" t="s">
        <v>256</v>
      </c>
      <c r="D20" s="10" t="s">
        <v>257</v>
      </c>
      <c r="E20" s="10" t="s">
        <v>224</v>
      </c>
      <c r="F20" s="10" t="n">
        <v>0.5</v>
      </c>
      <c r="G20" s="10" t="s">
        <v>258</v>
      </c>
      <c r="H20" s="23" t="n">
        <v>46398</v>
      </c>
      <c r="I20" s="23" t="n">
        <v>46444</v>
      </c>
      <c r="J20" s="24"/>
      <c r="K20" s="25"/>
      <c r="L20" s="24"/>
      <c r="M20" s="10" t="s">
        <v>218</v>
      </c>
    </row>
    <row r="21" customFormat="false" ht="35.05" hidden="false" customHeight="false" outlineLevel="0" collapsed="false">
      <c r="A21" s="22" t="n">
        <v>56</v>
      </c>
      <c r="B21" s="10" t="s">
        <v>219</v>
      </c>
      <c r="C21" s="10" t="s">
        <v>226</v>
      </c>
      <c r="D21" s="10" t="s">
        <v>259</v>
      </c>
      <c r="E21" s="10" t="s">
        <v>213</v>
      </c>
      <c r="F21" s="10" t="n">
        <v>0.5</v>
      </c>
      <c r="G21" s="10" t="s">
        <v>225</v>
      </c>
      <c r="H21" s="23" t="n">
        <v>46307</v>
      </c>
      <c r="I21" s="23" t="n">
        <v>46325</v>
      </c>
      <c r="J21" s="24"/>
      <c r="K21" s="25"/>
      <c r="L21" s="24"/>
      <c r="M21" s="10" t="s">
        <v>218</v>
      </c>
    </row>
    <row r="22" customFormat="false" ht="35.05" hidden="false" customHeight="false" outlineLevel="0" collapsed="false">
      <c r="A22" s="22" t="n">
        <v>57</v>
      </c>
      <c r="B22" s="10" t="s">
        <v>219</v>
      </c>
      <c r="C22" s="10" t="s">
        <v>240</v>
      </c>
      <c r="D22" s="10" t="s">
        <v>260</v>
      </c>
      <c r="E22" s="10" t="s">
        <v>213</v>
      </c>
      <c r="F22" s="10" t="n">
        <v>0.25</v>
      </c>
      <c r="G22" s="10" t="s">
        <v>214</v>
      </c>
      <c r="H22" s="23" t="n">
        <v>46307</v>
      </c>
      <c r="I22" s="23" t="n">
        <v>46311</v>
      </c>
      <c r="J22" s="24"/>
      <c r="K22" s="25"/>
      <c r="L22" s="24"/>
      <c r="M22" s="10" t="s">
        <v>218</v>
      </c>
    </row>
    <row r="23" customFormat="false" ht="23.85" hidden="false" customHeight="false" outlineLevel="0" collapsed="false">
      <c r="A23" s="22" t="n">
        <v>58</v>
      </c>
      <c r="B23" s="10" t="s">
        <v>219</v>
      </c>
      <c r="C23" s="10" t="s">
        <v>243</v>
      </c>
      <c r="D23" s="10" t="s">
        <v>261</v>
      </c>
      <c r="E23" s="10" t="s">
        <v>228</v>
      </c>
      <c r="F23" s="10" t="n">
        <v>1.5</v>
      </c>
      <c r="G23" s="10" t="s">
        <v>214</v>
      </c>
      <c r="H23" s="23" t="n">
        <v>46314</v>
      </c>
      <c r="I23" s="23" t="n">
        <v>46325</v>
      </c>
      <c r="J23" s="24"/>
      <c r="K23" s="25"/>
      <c r="L23" s="24"/>
      <c r="M23" s="10" t="s">
        <v>218</v>
      </c>
    </row>
    <row r="24" customFormat="false" ht="35.05" hidden="false" customHeight="false" outlineLevel="0" collapsed="false">
      <c r="A24" s="22" t="n">
        <v>59</v>
      </c>
      <c r="B24" s="10" t="s">
        <v>219</v>
      </c>
      <c r="C24" s="10" t="s">
        <v>243</v>
      </c>
      <c r="D24" s="10" t="s">
        <v>262</v>
      </c>
      <c r="E24" s="10" t="s">
        <v>224</v>
      </c>
      <c r="F24" s="10" t="n">
        <v>1</v>
      </c>
      <c r="G24" s="10" t="s">
        <v>217</v>
      </c>
      <c r="H24" s="23" t="n">
        <v>46314</v>
      </c>
      <c r="I24" s="23" t="n">
        <v>46325</v>
      </c>
      <c r="J24" s="24"/>
      <c r="K24" s="25"/>
      <c r="L24" s="24"/>
      <c r="M24" s="10" t="s">
        <v>218</v>
      </c>
    </row>
    <row r="25" customFormat="false" ht="23.85" hidden="false" customHeight="false" outlineLevel="0" collapsed="false">
      <c r="A25" s="22" t="n">
        <v>60</v>
      </c>
      <c r="B25" s="10" t="s">
        <v>219</v>
      </c>
      <c r="C25" s="10" t="s">
        <v>240</v>
      </c>
      <c r="D25" s="10" t="s">
        <v>263</v>
      </c>
      <c r="E25" s="10" t="s">
        <v>224</v>
      </c>
      <c r="F25" s="10" t="n">
        <v>1</v>
      </c>
      <c r="G25" s="10" t="s">
        <v>258</v>
      </c>
      <c r="H25" s="23" t="n">
        <v>46307</v>
      </c>
      <c r="I25" s="23" t="n">
        <v>46311</v>
      </c>
      <c r="J25" s="24"/>
      <c r="K25" s="25"/>
      <c r="L25" s="24"/>
      <c r="M25" s="10" t="s">
        <v>218</v>
      </c>
    </row>
    <row r="26" customFormat="false" ht="35.05" hidden="false" customHeight="false" outlineLevel="0" collapsed="false">
      <c r="A26" s="22" t="n">
        <v>61</v>
      </c>
      <c r="B26" s="10" t="s">
        <v>219</v>
      </c>
      <c r="C26" s="10" t="s">
        <v>240</v>
      </c>
      <c r="D26" s="10" t="s">
        <v>264</v>
      </c>
      <c r="E26" s="10" t="s">
        <v>213</v>
      </c>
      <c r="F26" s="10" t="n">
        <v>0</v>
      </c>
      <c r="G26" s="10" t="s">
        <v>258</v>
      </c>
      <c r="H26" s="23" t="n">
        <v>46307</v>
      </c>
      <c r="I26" s="23" t="n">
        <v>46318</v>
      </c>
      <c r="J26" s="24"/>
      <c r="K26" s="25"/>
      <c r="L26" s="24"/>
      <c r="M26" s="10" t="s">
        <v>218</v>
      </c>
    </row>
    <row r="27" customFormat="false" ht="35.05" hidden="false" customHeight="false" outlineLevel="0" collapsed="false">
      <c r="A27" s="22" t="n">
        <v>16</v>
      </c>
      <c r="B27" s="10" t="s">
        <v>219</v>
      </c>
      <c r="C27" s="10" t="s">
        <v>265</v>
      </c>
      <c r="D27" s="10" t="s">
        <v>266</v>
      </c>
      <c r="E27" s="10" t="s">
        <v>228</v>
      </c>
      <c r="F27" s="10" t="n">
        <v>1</v>
      </c>
      <c r="G27" s="10" t="s">
        <v>225</v>
      </c>
      <c r="H27" s="23" t="n">
        <v>46321</v>
      </c>
      <c r="I27" s="23" t="n">
        <v>46325</v>
      </c>
      <c r="J27" s="24"/>
      <c r="K27" s="25"/>
      <c r="L27" s="24"/>
      <c r="M27" s="10" t="s">
        <v>267</v>
      </c>
    </row>
    <row r="28" customFormat="false" ht="35.05" hidden="false" customHeight="false" outlineLevel="0" collapsed="false">
      <c r="A28" s="22" t="n">
        <v>62</v>
      </c>
      <c r="B28" s="10" t="s">
        <v>268</v>
      </c>
      <c r="C28" s="10" t="s">
        <v>269</v>
      </c>
      <c r="D28" s="10" t="s">
        <v>270</v>
      </c>
      <c r="E28" s="10" t="s">
        <v>228</v>
      </c>
      <c r="F28" s="10" t="n">
        <v>0.5</v>
      </c>
      <c r="G28" s="10" t="s">
        <v>271</v>
      </c>
      <c r="H28" s="23" t="n">
        <v>46349</v>
      </c>
      <c r="I28" s="23" t="n">
        <v>46367</v>
      </c>
      <c r="J28" s="24"/>
      <c r="K28" s="25"/>
      <c r="L28" s="24"/>
      <c r="M28" s="10" t="s">
        <v>218</v>
      </c>
    </row>
    <row r="30" customFormat="false" ht="15" hidden="false" customHeight="false" outlineLevel="0" collapsed="false">
      <c r="D30" s="2" t="s">
        <v>272</v>
      </c>
      <c r="F30" s="2" t="n">
        <f aca="false">SUM(F5:F28)</f>
        <v>23</v>
      </c>
    </row>
    <row r="31" customFormat="false" ht="15" hidden="false" customHeight="false" outlineLevel="0" collapsed="false">
      <c r="D31" s="2" t="s">
        <v>273</v>
      </c>
      <c r="F31" s="2" t="n">
        <f aca="false">SUMIF(J5:J28,"klaar",F5:F28)</f>
        <v>0</v>
      </c>
    </row>
    <row r="32" customFormat="false" ht="15" hidden="false" customHeight="false" outlineLevel="0" collapsed="false">
      <c r="D32" s="2" t="s">
        <v>274</v>
      </c>
      <c r="F32" s="2" t="n">
        <f aca="false">COUNTIF(J5:J28,"open")+COUNTBLANK(J5:J28)</f>
        <v>24</v>
      </c>
    </row>
    <row r="34" customFormat="false" ht="15" hidden="false" customHeight="false" outlineLevel="0" collapsed="false">
      <c r="A34" s="26" t="s">
        <v>275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</row>
  </sheetData>
  <mergeCells count="2">
    <mergeCell ref="A2:M2"/>
    <mergeCell ref="A34:M34"/>
  </mergeCells>
  <dataValidations count="2">
    <dataValidation allowBlank="true" errorStyle="stop" operator="between" showDropDown="false" showErrorMessage="false" showInputMessage="false" sqref="J5:J28" type="list">
      <formula1>"open,bezig,klaar,vervalt"</formula1>
      <formula2>0</formula2>
    </dataValidation>
    <dataValidation allowBlank="true" errorStyle="stop" operator="between" showDropDown="false" showErrorMessage="false" showInputMessage="false" sqref="E5:E28" type="list">
      <formula1>"Claude,jij,samen,tool"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11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276</v>
      </c>
    </row>
    <row r="2" customFormat="false" ht="30" hidden="false" customHeight="true" outlineLevel="0" collapsed="false">
      <c r="A2" s="4" t="s">
        <v>277</v>
      </c>
      <c r="B2" s="4"/>
      <c r="C2" s="4"/>
      <c r="D2" s="4"/>
      <c r="E2" s="4"/>
      <c r="F2" s="4"/>
      <c r="G2" s="4"/>
      <c r="H2" s="4"/>
    </row>
    <row r="4" customFormat="false" ht="15" hidden="false" customHeight="false" outlineLevel="0" collapsed="false">
      <c r="A4" s="5" t="s">
        <v>278</v>
      </c>
      <c r="B4" s="5" t="s">
        <v>279</v>
      </c>
      <c r="C4" s="5" t="s">
        <v>280</v>
      </c>
      <c r="D4" s="5" t="s">
        <v>281</v>
      </c>
      <c r="E4" s="5" t="s">
        <v>282</v>
      </c>
      <c r="F4" s="5" t="s">
        <v>283</v>
      </c>
      <c r="G4" s="5" t="s">
        <v>284</v>
      </c>
      <c r="H4" s="5" t="s">
        <v>206</v>
      </c>
    </row>
    <row r="5" customFormat="false" ht="46.25" hidden="false" customHeight="false" outlineLevel="0" collapsed="false">
      <c r="A5" s="10" t="s">
        <v>285</v>
      </c>
      <c r="B5" s="10" t="s">
        <v>286</v>
      </c>
      <c r="C5" s="10" t="s">
        <v>287</v>
      </c>
      <c r="D5" s="10" t="s">
        <v>288</v>
      </c>
      <c r="E5" s="10" t="s">
        <v>289</v>
      </c>
      <c r="F5" s="10" t="s">
        <v>290</v>
      </c>
      <c r="G5" s="10" t="s">
        <v>213</v>
      </c>
      <c r="H5" s="24"/>
    </row>
    <row r="6" customFormat="false" ht="57.45" hidden="false" customHeight="false" outlineLevel="0" collapsed="false">
      <c r="A6" s="10" t="s">
        <v>291</v>
      </c>
      <c r="B6" s="10" t="s">
        <v>292</v>
      </c>
      <c r="C6" s="10" t="s">
        <v>293</v>
      </c>
      <c r="D6" s="10" t="s">
        <v>294</v>
      </c>
      <c r="E6" s="10" t="s">
        <v>295</v>
      </c>
      <c r="F6" s="10" t="s">
        <v>296</v>
      </c>
      <c r="G6" s="10" t="s">
        <v>224</v>
      </c>
      <c r="H6" s="24"/>
    </row>
    <row r="7" customFormat="false" ht="46.25" hidden="false" customHeight="false" outlineLevel="0" collapsed="false">
      <c r="A7" s="10" t="s">
        <v>297</v>
      </c>
      <c r="B7" s="10" t="s">
        <v>298</v>
      </c>
      <c r="C7" s="10" t="s">
        <v>299</v>
      </c>
      <c r="D7" s="10" t="s">
        <v>300</v>
      </c>
      <c r="E7" s="10" t="s">
        <v>301</v>
      </c>
      <c r="F7" s="10" t="s">
        <v>102</v>
      </c>
      <c r="G7" s="10" t="s">
        <v>213</v>
      </c>
      <c r="H7" s="24"/>
    </row>
    <row r="8" customFormat="false" ht="35.05" hidden="false" customHeight="false" outlineLevel="0" collapsed="false">
      <c r="A8" s="10" t="s">
        <v>302</v>
      </c>
      <c r="B8" s="10" t="s">
        <v>303</v>
      </c>
      <c r="C8" s="10" t="s">
        <v>304</v>
      </c>
      <c r="D8" s="10" t="s">
        <v>305</v>
      </c>
      <c r="E8" s="10" t="s">
        <v>306</v>
      </c>
      <c r="F8" s="10" t="s">
        <v>307</v>
      </c>
      <c r="G8" s="10" t="s">
        <v>224</v>
      </c>
      <c r="H8" s="24"/>
    </row>
    <row r="9" customFormat="false" ht="46.25" hidden="false" customHeight="false" outlineLevel="0" collapsed="false">
      <c r="A9" s="10" t="s">
        <v>308</v>
      </c>
      <c r="B9" s="10" t="s">
        <v>309</v>
      </c>
      <c r="C9" s="10" t="s">
        <v>310</v>
      </c>
      <c r="D9" s="10" t="s">
        <v>294</v>
      </c>
      <c r="E9" s="10" t="s">
        <v>311</v>
      </c>
      <c r="F9" s="10" t="s">
        <v>312</v>
      </c>
      <c r="G9" s="10" t="s">
        <v>224</v>
      </c>
      <c r="H9" s="24"/>
    </row>
    <row r="10" customFormat="false" ht="23.85" hidden="false" customHeight="false" outlineLevel="0" collapsed="false">
      <c r="A10" s="10" t="s">
        <v>313</v>
      </c>
      <c r="B10" s="10" t="s">
        <v>314</v>
      </c>
      <c r="C10" s="10" t="s">
        <v>304</v>
      </c>
      <c r="D10" s="10" t="s">
        <v>294</v>
      </c>
      <c r="E10" s="10" t="s">
        <v>315</v>
      </c>
      <c r="F10" s="10" t="s">
        <v>316</v>
      </c>
      <c r="G10" s="10" t="s">
        <v>228</v>
      </c>
      <c r="H10" s="24"/>
    </row>
    <row r="11" customFormat="false" ht="35.05" hidden="false" customHeight="false" outlineLevel="0" collapsed="false">
      <c r="A11" s="10" t="s">
        <v>317</v>
      </c>
      <c r="B11" s="10" t="s">
        <v>318</v>
      </c>
      <c r="C11" s="10" t="s">
        <v>319</v>
      </c>
      <c r="D11" s="10" t="s">
        <v>320</v>
      </c>
      <c r="E11" s="10" t="s">
        <v>321</v>
      </c>
      <c r="F11" s="10" t="s">
        <v>322</v>
      </c>
      <c r="G11" s="10" t="s">
        <v>213</v>
      </c>
      <c r="H11" s="24"/>
    </row>
    <row r="12" customFormat="false" ht="23.85" hidden="false" customHeight="false" outlineLevel="0" collapsed="false">
      <c r="A12" s="10" t="s">
        <v>323</v>
      </c>
      <c r="B12" s="10" t="s">
        <v>324</v>
      </c>
      <c r="C12" s="10" t="s">
        <v>325</v>
      </c>
      <c r="D12" s="10" t="s">
        <v>300</v>
      </c>
      <c r="E12" s="10" t="s">
        <v>326</v>
      </c>
      <c r="F12" s="10" t="s">
        <v>102</v>
      </c>
      <c r="G12" s="10" t="s">
        <v>213</v>
      </c>
      <c r="H12" s="24"/>
    </row>
    <row r="13" customFormat="false" ht="35.05" hidden="false" customHeight="false" outlineLevel="0" collapsed="false">
      <c r="A13" s="10" t="s">
        <v>327</v>
      </c>
      <c r="B13" s="10" t="s">
        <v>328</v>
      </c>
      <c r="C13" s="10" t="s">
        <v>329</v>
      </c>
      <c r="D13" s="10" t="s">
        <v>294</v>
      </c>
      <c r="E13" s="10" t="s">
        <v>330</v>
      </c>
      <c r="F13" s="10" t="s">
        <v>331</v>
      </c>
      <c r="G13" s="10" t="s">
        <v>228</v>
      </c>
      <c r="H13" s="24"/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50"/>
    <col collapsed="false" customWidth="true" hidden="false" outlineLevel="0" max="5" min="5" style="0" width="36"/>
  </cols>
  <sheetData>
    <row r="1" customFormat="false" ht="17.35" hidden="false" customHeight="false" outlineLevel="0" collapsed="false">
      <c r="A1" s="1" t="s">
        <v>332</v>
      </c>
    </row>
    <row r="2" customFormat="false" ht="42" hidden="false" customHeight="true" outlineLevel="0" collapsed="false">
      <c r="A2" s="4" t="s">
        <v>333</v>
      </c>
      <c r="B2" s="4"/>
      <c r="C2" s="4"/>
      <c r="D2" s="4"/>
      <c r="E2" s="4"/>
    </row>
    <row r="4" customFormat="false" ht="15" hidden="false" customHeight="false" outlineLevel="0" collapsed="false">
      <c r="A4" s="5" t="s">
        <v>17</v>
      </c>
      <c r="B4" s="5" t="s">
        <v>334</v>
      </c>
      <c r="C4" s="5" t="s">
        <v>335</v>
      </c>
      <c r="D4" s="5" t="s">
        <v>336</v>
      </c>
      <c r="E4" s="5" t="s">
        <v>337</v>
      </c>
    </row>
    <row r="5" customFormat="false" ht="46.25" hidden="false" customHeight="false" outlineLevel="0" collapsed="false">
      <c r="A5" s="10" t="s">
        <v>30</v>
      </c>
      <c r="B5" s="10" t="s">
        <v>338</v>
      </c>
      <c r="C5" s="10" t="s">
        <v>339</v>
      </c>
      <c r="D5" s="10" t="s">
        <v>340</v>
      </c>
      <c r="E5" s="10" t="s">
        <v>341</v>
      </c>
    </row>
    <row r="6" customFormat="false" ht="35.05" hidden="false" customHeight="false" outlineLevel="0" collapsed="false">
      <c r="A6" s="10" t="s">
        <v>36</v>
      </c>
      <c r="B6" s="10" t="s">
        <v>342</v>
      </c>
      <c r="C6" s="10" t="s">
        <v>343</v>
      </c>
      <c r="D6" s="10" t="s">
        <v>344</v>
      </c>
      <c r="E6" s="10" t="s">
        <v>345</v>
      </c>
    </row>
    <row r="7" customFormat="false" ht="23.85" hidden="false" customHeight="false" outlineLevel="0" collapsed="false">
      <c r="A7" s="10" t="s">
        <v>46</v>
      </c>
      <c r="B7" s="10" t="s">
        <v>346</v>
      </c>
      <c r="C7" s="10" t="s">
        <v>347</v>
      </c>
      <c r="D7" s="10" t="s">
        <v>348</v>
      </c>
      <c r="E7" s="10" t="s">
        <v>349</v>
      </c>
    </row>
    <row r="8" customFormat="false" ht="23.85" hidden="false" customHeight="false" outlineLevel="0" collapsed="false">
      <c r="A8" s="10" t="s">
        <v>33</v>
      </c>
      <c r="B8" s="10" t="s">
        <v>346</v>
      </c>
      <c r="C8" s="10" t="s">
        <v>350</v>
      </c>
      <c r="D8" s="10" t="s">
        <v>351</v>
      </c>
      <c r="E8" s="10" t="s">
        <v>352</v>
      </c>
    </row>
    <row r="9" customFormat="false" ht="23.85" hidden="false" customHeight="false" outlineLevel="0" collapsed="false">
      <c r="A9" s="10" t="s">
        <v>193</v>
      </c>
      <c r="B9" s="10" t="s">
        <v>346</v>
      </c>
      <c r="C9" s="10" t="s">
        <v>353</v>
      </c>
      <c r="D9" s="10" t="s">
        <v>354</v>
      </c>
      <c r="E9" s="10" t="s">
        <v>355</v>
      </c>
    </row>
    <row r="10" customFormat="false" ht="35.05" hidden="false" customHeight="false" outlineLevel="0" collapsed="false">
      <c r="A10" s="10" t="s">
        <v>356</v>
      </c>
      <c r="B10" s="10" t="s">
        <v>357</v>
      </c>
      <c r="C10" s="10" t="s">
        <v>358</v>
      </c>
      <c r="D10" s="10" t="s">
        <v>359</v>
      </c>
      <c r="E10" s="10" t="s">
        <v>360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8"/>
    <col collapsed="false" customWidth="true" hidden="false" outlineLevel="0" max="4" min="4" style="0" width="26"/>
    <col collapsed="false" customWidth="true" hidden="false" outlineLevel="0" max="5" min="5" style="0" width="70"/>
    <col collapsed="false" customWidth="true" hidden="false" outlineLevel="0" max="6" min="6" style="0" width="36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361</v>
      </c>
    </row>
    <row r="2" customFormat="false" ht="42" hidden="false" customHeight="true" outlineLevel="0" collapsed="false">
      <c r="A2" s="4" t="s">
        <v>362</v>
      </c>
      <c r="B2" s="4"/>
      <c r="C2" s="4"/>
      <c r="D2" s="4"/>
      <c r="E2" s="4"/>
      <c r="F2" s="4"/>
      <c r="G2" s="4"/>
    </row>
    <row r="4" customFormat="false" ht="15" hidden="false" customHeight="false" outlineLevel="0" collapsed="false">
      <c r="A4" s="5" t="s">
        <v>363</v>
      </c>
      <c r="B4" s="5" t="s">
        <v>17</v>
      </c>
      <c r="C4" s="5" t="s">
        <v>364</v>
      </c>
      <c r="D4" s="5" t="s">
        <v>365</v>
      </c>
      <c r="E4" s="5" t="s">
        <v>366</v>
      </c>
      <c r="F4" s="5" t="s">
        <v>367</v>
      </c>
      <c r="G4" s="5" t="s">
        <v>368</v>
      </c>
    </row>
    <row r="5" customFormat="false" ht="23.85" hidden="false" customHeight="false" outlineLevel="0" collapsed="false">
      <c r="A5" s="10" t="s">
        <v>369</v>
      </c>
      <c r="B5" s="10" t="s">
        <v>36</v>
      </c>
      <c r="C5" s="10" t="s">
        <v>370</v>
      </c>
      <c r="D5" s="10" t="s">
        <v>371</v>
      </c>
      <c r="E5" s="10" t="s">
        <v>372</v>
      </c>
      <c r="F5" s="10" t="s">
        <v>373</v>
      </c>
      <c r="G5" s="10" t="s">
        <v>374</v>
      </c>
    </row>
    <row r="6" customFormat="false" ht="23.85" hidden="false" customHeight="false" outlineLevel="0" collapsed="false">
      <c r="A6" s="10" t="s">
        <v>375</v>
      </c>
      <c r="B6" s="10" t="s">
        <v>36</v>
      </c>
      <c r="C6" s="10" t="s">
        <v>370</v>
      </c>
      <c r="D6" s="10" t="s">
        <v>376</v>
      </c>
      <c r="E6" s="10" t="s">
        <v>377</v>
      </c>
      <c r="F6" s="10" t="s">
        <v>378</v>
      </c>
      <c r="G6" s="10"/>
    </row>
    <row r="7" customFormat="false" ht="23.85" hidden="false" customHeight="false" outlineLevel="0" collapsed="false">
      <c r="A7" s="10" t="s">
        <v>379</v>
      </c>
      <c r="B7" s="10" t="s">
        <v>36</v>
      </c>
      <c r="C7" s="10" t="s">
        <v>370</v>
      </c>
      <c r="D7" s="10" t="s">
        <v>380</v>
      </c>
      <c r="E7" s="10" t="s">
        <v>381</v>
      </c>
      <c r="F7" s="10" t="s">
        <v>382</v>
      </c>
      <c r="G7" s="10" t="s">
        <v>383</v>
      </c>
    </row>
    <row r="8" customFormat="false" ht="15" hidden="false" customHeight="false" outlineLevel="0" collapsed="false">
      <c r="A8" s="10" t="s">
        <v>384</v>
      </c>
      <c r="B8" s="10" t="s">
        <v>36</v>
      </c>
      <c r="C8" s="10" t="s">
        <v>370</v>
      </c>
      <c r="D8" s="10" t="s">
        <v>385</v>
      </c>
      <c r="E8" s="10" t="s">
        <v>386</v>
      </c>
      <c r="F8" s="10" t="s">
        <v>163</v>
      </c>
      <c r="G8" s="10"/>
    </row>
    <row r="9" customFormat="false" ht="23.85" hidden="false" customHeight="false" outlineLevel="0" collapsed="false">
      <c r="A9" s="10" t="s">
        <v>387</v>
      </c>
      <c r="B9" s="10" t="s">
        <v>36</v>
      </c>
      <c r="C9" s="10" t="s">
        <v>370</v>
      </c>
      <c r="D9" s="10" t="s">
        <v>388</v>
      </c>
      <c r="E9" s="10" t="s">
        <v>389</v>
      </c>
      <c r="F9" s="10" t="s">
        <v>390</v>
      </c>
      <c r="G9" s="10" t="s">
        <v>391</v>
      </c>
    </row>
    <row r="10" customFormat="false" ht="23.85" hidden="false" customHeight="false" outlineLevel="0" collapsed="false">
      <c r="A10" s="10" t="s">
        <v>392</v>
      </c>
      <c r="B10" s="10" t="s">
        <v>36</v>
      </c>
      <c r="C10" s="10" t="s">
        <v>370</v>
      </c>
      <c r="D10" s="10" t="s">
        <v>393</v>
      </c>
      <c r="E10" s="10" t="s">
        <v>394</v>
      </c>
      <c r="F10" s="10" t="s">
        <v>395</v>
      </c>
      <c r="G10" s="10" t="s">
        <v>396</v>
      </c>
    </row>
    <row r="11" customFormat="false" ht="23.85" hidden="false" customHeight="false" outlineLevel="0" collapsed="false">
      <c r="A11" s="10" t="s">
        <v>397</v>
      </c>
      <c r="B11" s="10" t="s">
        <v>36</v>
      </c>
      <c r="C11" s="10" t="s">
        <v>370</v>
      </c>
      <c r="D11" s="10" t="s">
        <v>398</v>
      </c>
      <c r="E11" s="10" t="s">
        <v>399</v>
      </c>
      <c r="F11" s="10" t="s">
        <v>400</v>
      </c>
      <c r="G11" s="10" t="s">
        <v>401</v>
      </c>
    </row>
    <row r="12" customFormat="false" ht="23.85" hidden="false" customHeight="false" outlineLevel="0" collapsed="false">
      <c r="A12" s="10" t="s">
        <v>402</v>
      </c>
      <c r="B12" s="10" t="s">
        <v>36</v>
      </c>
      <c r="C12" s="10" t="s">
        <v>370</v>
      </c>
      <c r="D12" s="10" t="s">
        <v>403</v>
      </c>
      <c r="E12" s="10" t="s">
        <v>404</v>
      </c>
      <c r="F12" s="10" t="s">
        <v>163</v>
      </c>
      <c r="G12" s="10" t="s">
        <v>405</v>
      </c>
    </row>
    <row r="13" customFormat="false" ht="23.85" hidden="false" customHeight="false" outlineLevel="0" collapsed="false">
      <c r="A13" s="10" t="s">
        <v>406</v>
      </c>
      <c r="B13" s="10" t="s">
        <v>36</v>
      </c>
      <c r="C13" s="10" t="s">
        <v>370</v>
      </c>
      <c r="D13" s="10" t="s">
        <v>407</v>
      </c>
      <c r="E13" s="10" t="s">
        <v>408</v>
      </c>
      <c r="F13" s="10" t="s">
        <v>163</v>
      </c>
      <c r="G13" s="10" t="s">
        <v>409</v>
      </c>
    </row>
    <row r="14" customFormat="false" ht="15" hidden="false" customHeight="false" outlineLevel="0" collapsed="false">
      <c r="A14" s="10" t="s">
        <v>410</v>
      </c>
      <c r="B14" s="10" t="s">
        <v>36</v>
      </c>
      <c r="C14" s="10" t="s">
        <v>370</v>
      </c>
      <c r="D14" s="10" t="s">
        <v>411</v>
      </c>
      <c r="E14" s="10" t="s">
        <v>412</v>
      </c>
      <c r="F14" s="10" t="s">
        <v>163</v>
      </c>
      <c r="G14" s="10" t="s">
        <v>413</v>
      </c>
    </row>
    <row r="15" customFormat="false" ht="23.85" hidden="false" customHeight="false" outlineLevel="0" collapsed="false">
      <c r="A15" s="10" t="s">
        <v>414</v>
      </c>
      <c r="B15" s="10" t="s">
        <v>30</v>
      </c>
      <c r="C15" s="10" t="s">
        <v>415</v>
      </c>
      <c r="D15" s="10" t="s">
        <v>371</v>
      </c>
      <c r="E15" s="10" t="s">
        <v>416</v>
      </c>
      <c r="F15" s="10" t="s">
        <v>417</v>
      </c>
      <c r="G15" s="10" t="s">
        <v>374</v>
      </c>
    </row>
    <row r="16" customFormat="false" ht="23.85" hidden="false" customHeight="false" outlineLevel="0" collapsed="false">
      <c r="A16" s="10" t="s">
        <v>418</v>
      </c>
      <c r="B16" s="10" t="s">
        <v>30</v>
      </c>
      <c r="C16" s="10" t="s">
        <v>415</v>
      </c>
      <c r="D16" s="10" t="s">
        <v>376</v>
      </c>
      <c r="E16" s="10" t="s">
        <v>419</v>
      </c>
      <c r="F16" s="10" t="s">
        <v>420</v>
      </c>
      <c r="G16" s="10"/>
    </row>
    <row r="17" customFormat="false" ht="23.85" hidden="false" customHeight="false" outlineLevel="0" collapsed="false">
      <c r="A17" s="10" t="s">
        <v>421</v>
      </c>
      <c r="B17" s="10" t="s">
        <v>30</v>
      </c>
      <c r="C17" s="10" t="s">
        <v>415</v>
      </c>
      <c r="D17" s="10" t="s">
        <v>380</v>
      </c>
      <c r="E17" s="10" t="s">
        <v>422</v>
      </c>
      <c r="F17" s="10" t="s">
        <v>423</v>
      </c>
      <c r="G17" s="10" t="s">
        <v>424</v>
      </c>
    </row>
    <row r="18" customFormat="false" ht="23.85" hidden="false" customHeight="false" outlineLevel="0" collapsed="false">
      <c r="A18" s="10" t="s">
        <v>425</v>
      </c>
      <c r="B18" s="10" t="s">
        <v>30</v>
      </c>
      <c r="C18" s="10" t="s">
        <v>415</v>
      </c>
      <c r="D18" s="10" t="s">
        <v>385</v>
      </c>
      <c r="E18" s="10" t="s">
        <v>426</v>
      </c>
      <c r="F18" s="10" t="s">
        <v>427</v>
      </c>
      <c r="G18" s="10"/>
    </row>
    <row r="19" customFormat="false" ht="15" hidden="false" customHeight="false" outlineLevel="0" collapsed="false">
      <c r="A19" s="10" t="s">
        <v>428</v>
      </c>
      <c r="B19" s="10" t="s">
        <v>30</v>
      </c>
      <c r="C19" s="10" t="s">
        <v>415</v>
      </c>
      <c r="D19" s="10" t="s">
        <v>388</v>
      </c>
      <c r="E19" s="10" t="s">
        <v>429</v>
      </c>
      <c r="F19" s="10" t="s">
        <v>430</v>
      </c>
      <c r="G19" s="10" t="s">
        <v>391</v>
      </c>
    </row>
    <row r="20" customFormat="false" ht="23.85" hidden="false" customHeight="false" outlineLevel="0" collapsed="false">
      <c r="A20" s="10" t="s">
        <v>431</v>
      </c>
      <c r="B20" s="10" t="s">
        <v>30</v>
      </c>
      <c r="C20" s="10" t="s">
        <v>415</v>
      </c>
      <c r="D20" s="10" t="s">
        <v>393</v>
      </c>
      <c r="E20" s="10" t="s">
        <v>432</v>
      </c>
      <c r="F20" s="10" t="s">
        <v>433</v>
      </c>
      <c r="G20" s="10" t="s">
        <v>396</v>
      </c>
    </row>
    <row r="21" customFormat="false" ht="23.85" hidden="false" customHeight="false" outlineLevel="0" collapsed="false">
      <c r="A21" s="10" t="s">
        <v>434</v>
      </c>
      <c r="B21" s="10" t="s">
        <v>30</v>
      </c>
      <c r="C21" s="10" t="s">
        <v>415</v>
      </c>
      <c r="D21" s="10" t="s">
        <v>398</v>
      </c>
      <c r="E21" s="10" t="s">
        <v>435</v>
      </c>
      <c r="F21" s="10" t="s">
        <v>436</v>
      </c>
      <c r="G21" s="10" t="s">
        <v>401</v>
      </c>
    </row>
    <row r="22" customFormat="false" ht="23.85" hidden="false" customHeight="false" outlineLevel="0" collapsed="false">
      <c r="A22" s="10" t="s">
        <v>437</v>
      </c>
      <c r="B22" s="10" t="s">
        <v>30</v>
      </c>
      <c r="C22" s="10" t="s">
        <v>415</v>
      </c>
      <c r="D22" s="10" t="s">
        <v>438</v>
      </c>
      <c r="E22" s="10" t="s">
        <v>439</v>
      </c>
      <c r="F22" s="10" t="s">
        <v>427</v>
      </c>
      <c r="G22" s="10" t="s">
        <v>440</v>
      </c>
    </row>
    <row r="23" customFormat="false" ht="23.85" hidden="false" customHeight="false" outlineLevel="0" collapsed="false">
      <c r="A23" s="10" t="s">
        <v>441</v>
      </c>
      <c r="B23" s="10" t="s">
        <v>30</v>
      </c>
      <c r="C23" s="10" t="s">
        <v>415</v>
      </c>
      <c r="D23" s="10" t="s">
        <v>407</v>
      </c>
      <c r="E23" s="10" t="s">
        <v>442</v>
      </c>
      <c r="F23" s="10" t="s">
        <v>163</v>
      </c>
      <c r="G23" s="10" t="s">
        <v>409</v>
      </c>
    </row>
    <row r="24" customFormat="false" ht="15" hidden="false" customHeight="false" outlineLevel="0" collapsed="false">
      <c r="A24" s="10" t="s">
        <v>443</v>
      </c>
      <c r="B24" s="10" t="s">
        <v>30</v>
      </c>
      <c r="C24" s="10" t="s">
        <v>415</v>
      </c>
      <c r="D24" s="10" t="s">
        <v>411</v>
      </c>
      <c r="E24" s="10" t="s">
        <v>444</v>
      </c>
      <c r="F24" s="10" t="s">
        <v>163</v>
      </c>
      <c r="G24" s="10" t="s">
        <v>413</v>
      </c>
    </row>
    <row r="25" customFormat="false" ht="23.85" hidden="false" customHeight="false" outlineLevel="0" collapsed="false">
      <c r="A25" s="10" t="s">
        <v>445</v>
      </c>
      <c r="B25" s="10" t="s">
        <v>33</v>
      </c>
      <c r="C25" s="10" t="s">
        <v>446</v>
      </c>
      <c r="D25" s="10" t="s">
        <v>371</v>
      </c>
      <c r="E25" s="10" t="s">
        <v>447</v>
      </c>
      <c r="F25" s="10" t="s">
        <v>448</v>
      </c>
      <c r="G25" s="10" t="s">
        <v>374</v>
      </c>
    </row>
    <row r="26" customFormat="false" ht="15" hidden="false" customHeight="false" outlineLevel="0" collapsed="false">
      <c r="A26" s="10" t="s">
        <v>449</v>
      </c>
      <c r="B26" s="10" t="s">
        <v>33</v>
      </c>
      <c r="C26" s="10" t="s">
        <v>446</v>
      </c>
      <c r="D26" s="10" t="s">
        <v>376</v>
      </c>
      <c r="E26" s="10" t="s">
        <v>450</v>
      </c>
      <c r="F26" s="10" t="s">
        <v>451</v>
      </c>
      <c r="G26" s="10"/>
    </row>
    <row r="27" customFormat="false" ht="15" hidden="false" customHeight="false" outlineLevel="0" collapsed="false">
      <c r="A27" s="10" t="s">
        <v>452</v>
      </c>
      <c r="B27" s="10" t="s">
        <v>33</v>
      </c>
      <c r="C27" s="10" t="s">
        <v>446</v>
      </c>
      <c r="D27" s="10" t="s">
        <v>380</v>
      </c>
      <c r="E27" s="10" t="s">
        <v>453</v>
      </c>
      <c r="F27" s="10" t="s">
        <v>454</v>
      </c>
      <c r="G27" s="10" t="s">
        <v>424</v>
      </c>
    </row>
    <row r="28" customFormat="false" ht="15" hidden="false" customHeight="false" outlineLevel="0" collapsed="false">
      <c r="A28" s="10" t="s">
        <v>455</v>
      </c>
      <c r="B28" s="10" t="s">
        <v>33</v>
      </c>
      <c r="C28" s="10" t="s">
        <v>446</v>
      </c>
      <c r="D28" s="10" t="s">
        <v>385</v>
      </c>
      <c r="E28" s="10" t="s">
        <v>456</v>
      </c>
      <c r="F28" s="10" t="s">
        <v>163</v>
      </c>
      <c r="G28" s="10"/>
    </row>
    <row r="29" customFormat="false" ht="15" hidden="false" customHeight="false" outlineLevel="0" collapsed="false">
      <c r="A29" s="10" t="s">
        <v>457</v>
      </c>
      <c r="B29" s="10" t="s">
        <v>33</v>
      </c>
      <c r="C29" s="10" t="s">
        <v>446</v>
      </c>
      <c r="D29" s="10" t="s">
        <v>388</v>
      </c>
      <c r="E29" s="10" t="s">
        <v>458</v>
      </c>
      <c r="F29" s="10" t="s">
        <v>459</v>
      </c>
      <c r="G29" s="10" t="s">
        <v>391</v>
      </c>
    </row>
    <row r="30" customFormat="false" ht="23.85" hidden="false" customHeight="false" outlineLevel="0" collapsed="false">
      <c r="A30" s="10" t="s">
        <v>460</v>
      </c>
      <c r="B30" s="10" t="s">
        <v>33</v>
      </c>
      <c r="C30" s="10" t="s">
        <v>446</v>
      </c>
      <c r="D30" s="10" t="s">
        <v>393</v>
      </c>
      <c r="E30" s="10" t="s">
        <v>461</v>
      </c>
      <c r="F30" s="10" t="s">
        <v>462</v>
      </c>
      <c r="G30" s="10" t="s">
        <v>396</v>
      </c>
    </row>
    <row r="31" customFormat="false" ht="23.85" hidden="false" customHeight="false" outlineLevel="0" collapsed="false">
      <c r="A31" s="10" t="s">
        <v>463</v>
      </c>
      <c r="B31" s="10" t="s">
        <v>33</v>
      </c>
      <c r="C31" s="10" t="s">
        <v>446</v>
      </c>
      <c r="D31" s="10" t="s">
        <v>398</v>
      </c>
      <c r="E31" s="10" t="s">
        <v>464</v>
      </c>
      <c r="F31" s="10" t="s">
        <v>163</v>
      </c>
      <c r="G31" s="10" t="s">
        <v>401</v>
      </c>
    </row>
    <row r="32" customFormat="false" ht="23.85" hidden="false" customHeight="false" outlineLevel="0" collapsed="false">
      <c r="A32" s="10" t="s">
        <v>465</v>
      </c>
      <c r="B32" s="10" t="s">
        <v>33</v>
      </c>
      <c r="C32" s="10" t="s">
        <v>446</v>
      </c>
      <c r="D32" s="10" t="s">
        <v>466</v>
      </c>
      <c r="E32" s="10" t="s">
        <v>467</v>
      </c>
      <c r="F32" s="10" t="s">
        <v>451</v>
      </c>
      <c r="G32" s="10" t="s">
        <v>468</v>
      </c>
    </row>
    <row r="33" customFormat="false" ht="23.85" hidden="false" customHeight="false" outlineLevel="0" collapsed="false">
      <c r="A33" s="10" t="s">
        <v>469</v>
      </c>
      <c r="B33" s="10" t="s">
        <v>33</v>
      </c>
      <c r="C33" s="10" t="s">
        <v>446</v>
      </c>
      <c r="D33" s="10" t="s">
        <v>407</v>
      </c>
      <c r="E33" s="10" t="s">
        <v>470</v>
      </c>
      <c r="F33" s="10" t="s">
        <v>163</v>
      </c>
      <c r="G33" s="10" t="s">
        <v>409</v>
      </c>
    </row>
    <row r="34" customFormat="false" ht="15" hidden="false" customHeight="false" outlineLevel="0" collapsed="false">
      <c r="A34" s="10" t="s">
        <v>471</v>
      </c>
      <c r="B34" s="10" t="s">
        <v>33</v>
      </c>
      <c r="C34" s="10" t="s">
        <v>446</v>
      </c>
      <c r="D34" s="10" t="s">
        <v>411</v>
      </c>
      <c r="E34" s="10" t="s">
        <v>472</v>
      </c>
      <c r="F34" s="10" t="s">
        <v>163</v>
      </c>
      <c r="G34" s="10" t="s">
        <v>413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40"/>
    <col collapsed="false" customWidth="true" hidden="false" outlineLevel="0" max="8" min="8" style="0" width="44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473</v>
      </c>
    </row>
    <row r="2" customFormat="false" ht="36" hidden="false" customHeight="true" outlineLevel="0" collapsed="false">
      <c r="A2" s="4" t="s">
        <v>474</v>
      </c>
      <c r="B2" s="4"/>
      <c r="C2" s="4"/>
      <c r="D2" s="4"/>
      <c r="E2" s="4"/>
      <c r="F2" s="4"/>
      <c r="G2" s="4"/>
      <c r="H2" s="4"/>
      <c r="I2" s="4"/>
    </row>
    <row r="4" customFormat="false" ht="23.85" hidden="false" customHeight="false" outlineLevel="0" collapsed="false">
      <c r="A4" s="5" t="s">
        <v>475</v>
      </c>
      <c r="B4" s="5" t="s">
        <v>363</v>
      </c>
      <c r="C4" s="5" t="s">
        <v>476</v>
      </c>
      <c r="D4" s="5" t="s">
        <v>477</v>
      </c>
      <c r="E4" s="5" t="s">
        <v>478</v>
      </c>
      <c r="F4" s="5" t="s">
        <v>479</v>
      </c>
      <c r="G4" s="5" t="s">
        <v>480</v>
      </c>
      <c r="H4" s="5" t="s">
        <v>481</v>
      </c>
      <c r="I4" s="5" t="s">
        <v>208</v>
      </c>
    </row>
    <row r="5" customFormat="false" ht="15" hidden="false" customHeight="false" outlineLevel="0" collapsed="false">
      <c r="A5" s="27" t="n">
        <v>46304</v>
      </c>
      <c r="B5" s="28" t="s">
        <v>369</v>
      </c>
      <c r="C5" s="28" t="s">
        <v>36</v>
      </c>
      <c r="D5" s="28" t="s">
        <v>482</v>
      </c>
      <c r="E5" s="28" t="s">
        <v>483</v>
      </c>
      <c r="F5" s="28"/>
      <c r="G5" s="28" t="s">
        <v>484</v>
      </c>
      <c r="H5" s="28" t="s">
        <v>485</v>
      </c>
      <c r="I5" s="28" t="s">
        <v>486</v>
      </c>
    </row>
    <row r="6" customFormat="false" ht="15" hidden="false" customHeight="false" outlineLevel="0" collapsed="false">
      <c r="A6" s="29"/>
      <c r="B6" s="30"/>
      <c r="C6" s="30"/>
      <c r="D6" s="30"/>
      <c r="E6" s="30"/>
      <c r="F6" s="30"/>
      <c r="G6" s="30"/>
      <c r="H6" s="30"/>
      <c r="I6" s="30"/>
    </row>
    <row r="7" customFormat="false" ht="15" hidden="false" customHeight="false" outlineLevel="0" collapsed="false">
      <c r="A7" s="29"/>
      <c r="B7" s="30"/>
      <c r="C7" s="30"/>
      <c r="D7" s="30"/>
      <c r="E7" s="30"/>
      <c r="F7" s="30"/>
      <c r="G7" s="30"/>
      <c r="H7" s="30"/>
      <c r="I7" s="30"/>
    </row>
    <row r="8" customFormat="false" ht="15" hidden="false" customHeight="false" outlineLevel="0" collapsed="false">
      <c r="A8" s="29"/>
      <c r="B8" s="30"/>
      <c r="C8" s="30"/>
      <c r="D8" s="30"/>
      <c r="E8" s="30"/>
      <c r="F8" s="30"/>
      <c r="G8" s="30"/>
      <c r="H8" s="30"/>
      <c r="I8" s="30"/>
    </row>
    <row r="9" customFormat="false" ht="15" hidden="false" customHeight="false" outlineLevel="0" collapsed="false">
      <c r="A9" s="29"/>
      <c r="B9" s="30"/>
      <c r="C9" s="30"/>
      <c r="D9" s="30"/>
      <c r="E9" s="30"/>
      <c r="F9" s="30"/>
      <c r="G9" s="30"/>
      <c r="H9" s="30"/>
      <c r="I9" s="30"/>
    </row>
    <row r="10" customFormat="false" ht="15" hidden="false" customHeight="false" outlineLevel="0" collapsed="false">
      <c r="A10" s="29"/>
      <c r="B10" s="30"/>
      <c r="C10" s="30"/>
      <c r="D10" s="30"/>
      <c r="E10" s="30"/>
      <c r="F10" s="30"/>
      <c r="G10" s="30"/>
      <c r="H10" s="30"/>
      <c r="I10" s="30"/>
    </row>
    <row r="11" customFormat="false" ht="15" hidden="false" customHeight="false" outlineLevel="0" collapsed="false">
      <c r="A11" s="29"/>
      <c r="B11" s="30"/>
      <c r="C11" s="30"/>
      <c r="D11" s="30"/>
      <c r="E11" s="30"/>
      <c r="F11" s="30"/>
      <c r="G11" s="30"/>
      <c r="H11" s="30"/>
      <c r="I11" s="30"/>
    </row>
    <row r="12" customFormat="false" ht="15" hidden="false" customHeight="false" outlineLevel="0" collapsed="false">
      <c r="A12" s="29"/>
      <c r="B12" s="30"/>
      <c r="C12" s="30"/>
      <c r="D12" s="30"/>
      <c r="E12" s="30"/>
      <c r="F12" s="30"/>
      <c r="G12" s="30"/>
      <c r="H12" s="30"/>
      <c r="I12" s="30"/>
    </row>
    <row r="13" customFormat="false" ht="15" hidden="false" customHeight="false" outlineLevel="0" collapsed="false">
      <c r="A13" s="29"/>
      <c r="B13" s="30"/>
      <c r="C13" s="30"/>
      <c r="D13" s="30"/>
      <c r="E13" s="30"/>
      <c r="F13" s="30"/>
      <c r="G13" s="30"/>
      <c r="H13" s="30"/>
      <c r="I13" s="30"/>
    </row>
    <row r="14" customFormat="false" ht="15" hidden="false" customHeight="false" outlineLevel="0" collapsed="false">
      <c r="A14" s="29"/>
      <c r="B14" s="30"/>
      <c r="C14" s="30"/>
      <c r="D14" s="30"/>
      <c r="E14" s="30"/>
      <c r="F14" s="30"/>
      <c r="G14" s="30"/>
      <c r="H14" s="30"/>
      <c r="I14" s="30"/>
    </row>
    <row r="15" customFormat="false" ht="15" hidden="false" customHeight="false" outlineLevel="0" collapsed="false">
      <c r="A15" s="29"/>
      <c r="B15" s="30"/>
      <c r="C15" s="30"/>
      <c r="D15" s="30"/>
      <c r="E15" s="30"/>
      <c r="F15" s="30"/>
      <c r="G15" s="30"/>
      <c r="H15" s="30"/>
      <c r="I15" s="30"/>
    </row>
    <row r="16" customFormat="false" ht="15" hidden="false" customHeight="false" outlineLevel="0" collapsed="false">
      <c r="A16" s="29"/>
      <c r="B16" s="30"/>
      <c r="C16" s="30"/>
      <c r="D16" s="30"/>
      <c r="E16" s="30"/>
      <c r="F16" s="30"/>
      <c r="G16" s="30"/>
      <c r="H16" s="30"/>
      <c r="I16" s="30"/>
    </row>
    <row r="17" customFormat="false" ht="15" hidden="false" customHeight="false" outlineLevel="0" collapsed="false">
      <c r="A17" s="29"/>
      <c r="B17" s="30"/>
      <c r="C17" s="30"/>
      <c r="D17" s="30"/>
      <c r="E17" s="30"/>
      <c r="F17" s="30"/>
      <c r="G17" s="30"/>
      <c r="H17" s="30"/>
      <c r="I17" s="30"/>
    </row>
    <row r="18" customFormat="false" ht="15" hidden="false" customHeight="false" outlineLevel="0" collapsed="false">
      <c r="A18" s="29"/>
      <c r="B18" s="30"/>
      <c r="C18" s="30"/>
      <c r="D18" s="30"/>
      <c r="E18" s="30"/>
      <c r="F18" s="30"/>
      <c r="G18" s="30"/>
      <c r="H18" s="30"/>
      <c r="I18" s="30"/>
    </row>
    <row r="19" customFormat="false" ht="15" hidden="false" customHeight="false" outlineLevel="0" collapsed="false">
      <c r="A19" s="29"/>
      <c r="B19" s="30"/>
      <c r="C19" s="30"/>
      <c r="D19" s="30"/>
      <c r="E19" s="30"/>
      <c r="F19" s="30"/>
      <c r="G19" s="30"/>
      <c r="H19" s="30"/>
      <c r="I19" s="30"/>
    </row>
    <row r="20" customFormat="false" ht="15" hidden="false" customHeight="false" outlineLevel="0" collapsed="false">
      <c r="A20" s="29"/>
      <c r="B20" s="30"/>
      <c r="C20" s="30"/>
      <c r="D20" s="30"/>
      <c r="E20" s="30"/>
      <c r="F20" s="30"/>
      <c r="G20" s="30"/>
      <c r="H20" s="30"/>
      <c r="I20" s="30"/>
    </row>
    <row r="21" customFormat="false" ht="15" hidden="false" customHeight="false" outlineLevel="0" collapsed="false">
      <c r="A21" s="29"/>
      <c r="B21" s="30"/>
      <c r="C21" s="30"/>
      <c r="D21" s="30"/>
      <c r="E21" s="30"/>
      <c r="F21" s="30"/>
      <c r="G21" s="30"/>
      <c r="H21" s="30"/>
      <c r="I21" s="30"/>
    </row>
    <row r="22" customFormat="false" ht="15" hidden="false" customHeight="false" outlineLevel="0" collapsed="false">
      <c r="A22" s="29"/>
      <c r="B22" s="30"/>
      <c r="C22" s="30"/>
      <c r="D22" s="30"/>
      <c r="E22" s="30"/>
      <c r="F22" s="30"/>
      <c r="G22" s="30"/>
      <c r="H22" s="30"/>
      <c r="I22" s="30"/>
    </row>
    <row r="23" customFormat="false" ht="15" hidden="false" customHeight="false" outlineLevel="0" collapsed="false">
      <c r="A23" s="29"/>
      <c r="B23" s="30"/>
      <c r="C23" s="30"/>
      <c r="D23" s="30"/>
      <c r="E23" s="30"/>
      <c r="F23" s="30"/>
      <c r="G23" s="30"/>
      <c r="H23" s="30"/>
      <c r="I23" s="30"/>
    </row>
    <row r="24" customFormat="false" ht="15" hidden="false" customHeight="false" outlineLevel="0" collapsed="false">
      <c r="A24" s="29"/>
      <c r="B24" s="30"/>
      <c r="C24" s="30"/>
      <c r="D24" s="30"/>
      <c r="E24" s="30"/>
      <c r="F24" s="30"/>
      <c r="G24" s="30"/>
      <c r="H24" s="30"/>
      <c r="I24" s="30"/>
    </row>
    <row r="25" customFormat="false" ht="15" hidden="false" customHeight="false" outlineLevel="0" collapsed="false">
      <c r="A25" s="29"/>
      <c r="B25" s="30"/>
      <c r="C25" s="30"/>
      <c r="D25" s="30"/>
      <c r="E25" s="30"/>
      <c r="F25" s="30"/>
      <c r="G25" s="30"/>
      <c r="H25" s="30"/>
      <c r="I25" s="30"/>
    </row>
    <row r="26" customFormat="false" ht="15" hidden="false" customHeight="false" outlineLevel="0" collapsed="false">
      <c r="A26" s="29"/>
      <c r="B26" s="30"/>
      <c r="C26" s="30"/>
      <c r="D26" s="30"/>
      <c r="E26" s="30"/>
      <c r="F26" s="30"/>
      <c r="G26" s="30"/>
      <c r="H26" s="30"/>
      <c r="I26" s="30"/>
    </row>
    <row r="27" customFormat="false" ht="15" hidden="false" customHeight="false" outlineLevel="0" collapsed="false">
      <c r="A27" s="29"/>
      <c r="B27" s="30"/>
      <c r="C27" s="30"/>
      <c r="D27" s="30"/>
      <c r="E27" s="30"/>
      <c r="F27" s="30"/>
      <c r="G27" s="30"/>
      <c r="H27" s="30"/>
      <c r="I27" s="30"/>
    </row>
    <row r="28" customFormat="false" ht="15" hidden="false" customHeight="false" outlineLevel="0" collapsed="false">
      <c r="A28" s="29"/>
      <c r="B28" s="30"/>
      <c r="C28" s="30"/>
      <c r="D28" s="30"/>
      <c r="E28" s="30"/>
      <c r="F28" s="30"/>
      <c r="G28" s="30"/>
      <c r="H28" s="30"/>
      <c r="I28" s="30"/>
    </row>
    <row r="29" customFormat="false" ht="15" hidden="false" customHeight="false" outlineLevel="0" collapsed="false">
      <c r="A29" s="29"/>
      <c r="B29" s="30"/>
      <c r="C29" s="30"/>
      <c r="D29" s="30"/>
      <c r="E29" s="30"/>
      <c r="F29" s="30"/>
      <c r="G29" s="30"/>
      <c r="H29" s="30"/>
      <c r="I29" s="30"/>
    </row>
    <row r="30" customFormat="false" ht="15" hidden="false" customHeight="false" outlineLevel="0" collapsed="false">
      <c r="A30" s="29"/>
      <c r="B30" s="30"/>
      <c r="C30" s="30"/>
      <c r="D30" s="30"/>
      <c r="E30" s="30"/>
      <c r="F30" s="30"/>
      <c r="G30" s="30"/>
      <c r="H30" s="30"/>
      <c r="I30" s="30"/>
    </row>
    <row r="31" customFormat="false" ht="15" hidden="false" customHeight="false" outlineLevel="0" collapsed="false">
      <c r="A31" s="29"/>
      <c r="B31" s="30"/>
      <c r="C31" s="30"/>
      <c r="D31" s="30"/>
      <c r="E31" s="30"/>
      <c r="F31" s="30"/>
      <c r="G31" s="30"/>
      <c r="H31" s="30"/>
      <c r="I31" s="30"/>
    </row>
    <row r="32" customFormat="false" ht="15" hidden="false" customHeight="false" outlineLevel="0" collapsed="false">
      <c r="A32" s="29"/>
      <c r="B32" s="30"/>
      <c r="C32" s="30"/>
      <c r="D32" s="30"/>
      <c r="E32" s="30"/>
      <c r="F32" s="30"/>
      <c r="G32" s="30"/>
      <c r="H32" s="30"/>
      <c r="I32" s="30"/>
    </row>
    <row r="33" customFormat="false" ht="15" hidden="false" customHeight="false" outlineLevel="0" collapsed="false">
      <c r="A33" s="29"/>
      <c r="B33" s="30"/>
      <c r="C33" s="30"/>
      <c r="D33" s="30"/>
      <c r="E33" s="30"/>
      <c r="F33" s="30"/>
      <c r="G33" s="30"/>
      <c r="H33" s="30"/>
      <c r="I33" s="30"/>
    </row>
    <row r="34" customFormat="false" ht="15" hidden="false" customHeight="false" outlineLevel="0" collapsed="false">
      <c r="A34" s="29"/>
      <c r="B34" s="30"/>
      <c r="C34" s="30"/>
      <c r="D34" s="30"/>
      <c r="E34" s="30"/>
      <c r="F34" s="30"/>
      <c r="G34" s="30"/>
      <c r="H34" s="30"/>
      <c r="I34" s="30"/>
    </row>
    <row r="35" customFormat="false" ht="15" hidden="false" customHeight="false" outlineLevel="0" collapsed="false">
      <c r="A35" s="29"/>
      <c r="B35" s="30"/>
      <c r="C35" s="30"/>
      <c r="D35" s="30"/>
      <c r="E35" s="30"/>
      <c r="F35" s="30"/>
      <c r="G35" s="30"/>
      <c r="H35" s="30"/>
      <c r="I35" s="30"/>
    </row>
    <row r="36" customFormat="false" ht="15" hidden="false" customHeight="false" outlineLevel="0" collapsed="false">
      <c r="A36" s="29"/>
      <c r="B36" s="30"/>
      <c r="C36" s="30"/>
      <c r="D36" s="30"/>
      <c r="E36" s="30"/>
      <c r="F36" s="30"/>
      <c r="G36" s="30"/>
      <c r="H36" s="30"/>
      <c r="I36" s="30"/>
    </row>
    <row r="37" customFormat="false" ht="15" hidden="false" customHeight="false" outlineLevel="0" collapsed="false">
      <c r="A37" s="29"/>
      <c r="B37" s="30"/>
      <c r="C37" s="30"/>
      <c r="D37" s="30"/>
      <c r="E37" s="30"/>
      <c r="F37" s="30"/>
      <c r="G37" s="30"/>
      <c r="H37" s="30"/>
      <c r="I37" s="30"/>
    </row>
    <row r="38" customFormat="false" ht="15" hidden="false" customHeight="false" outlineLevel="0" collapsed="false">
      <c r="A38" s="29"/>
      <c r="B38" s="30"/>
      <c r="C38" s="30"/>
      <c r="D38" s="30"/>
      <c r="E38" s="30"/>
      <c r="F38" s="30"/>
      <c r="G38" s="30"/>
      <c r="H38" s="30"/>
      <c r="I38" s="30"/>
    </row>
    <row r="39" customFormat="false" ht="15" hidden="false" customHeight="false" outlineLevel="0" collapsed="false">
      <c r="A39" s="29"/>
      <c r="B39" s="30"/>
      <c r="C39" s="30"/>
      <c r="D39" s="30"/>
      <c r="E39" s="30"/>
      <c r="F39" s="30"/>
      <c r="G39" s="30"/>
      <c r="H39" s="30"/>
      <c r="I39" s="30"/>
    </row>
    <row r="40" customFormat="false" ht="15" hidden="false" customHeight="false" outlineLevel="0" collapsed="false">
      <c r="A40" s="29"/>
      <c r="B40" s="30"/>
      <c r="C40" s="30"/>
      <c r="D40" s="30"/>
      <c r="E40" s="30"/>
      <c r="F40" s="30"/>
      <c r="G40" s="30"/>
      <c r="H40" s="30"/>
      <c r="I40" s="30"/>
    </row>
    <row r="41" customFormat="false" ht="15" hidden="false" customHeight="false" outlineLevel="0" collapsed="false">
      <c r="A41" s="29"/>
      <c r="B41" s="30"/>
      <c r="C41" s="30"/>
      <c r="D41" s="30"/>
      <c r="E41" s="30"/>
      <c r="F41" s="30"/>
      <c r="G41" s="30"/>
      <c r="H41" s="30"/>
      <c r="I41" s="30"/>
    </row>
    <row r="42" customFormat="false" ht="15" hidden="false" customHeight="false" outlineLevel="0" collapsed="false">
      <c r="A42" s="29"/>
      <c r="B42" s="30"/>
      <c r="C42" s="30"/>
      <c r="D42" s="30"/>
      <c r="E42" s="30"/>
      <c r="F42" s="30"/>
      <c r="G42" s="30"/>
      <c r="H42" s="30"/>
      <c r="I42" s="30"/>
    </row>
    <row r="43" customFormat="false" ht="15" hidden="false" customHeight="false" outlineLevel="0" collapsed="false">
      <c r="A43" s="29"/>
      <c r="B43" s="30"/>
      <c r="C43" s="30"/>
      <c r="D43" s="30"/>
      <c r="E43" s="30"/>
      <c r="F43" s="30"/>
      <c r="G43" s="30"/>
      <c r="H43" s="30"/>
      <c r="I43" s="30"/>
    </row>
    <row r="44" customFormat="false" ht="15" hidden="false" customHeight="false" outlineLevel="0" collapsed="false">
      <c r="A44" s="29"/>
      <c r="B44" s="30"/>
      <c r="C44" s="30"/>
      <c r="D44" s="30"/>
      <c r="E44" s="30"/>
      <c r="F44" s="30"/>
      <c r="G44" s="30"/>
      <c r="H44" s="30"/>
      <c r="I44" s="30"/>
    </row>
    <row r="45" customFormat="false" ht="15" hidden="false" customHeight="false" outlineLevel="0" collapsed="false">
      <c r="A45" s="29"/>
      <c r="B45" s="30"/>
      <c r="C45" s="30"/>
      <c r="D45" s="30"/>
      <c r="E45" s="30"/>
      <c r="F45" s="30"/>
      <c r="G45" s="30"/>
      <c r="H45" s="30"/>
      <c r="I45" s="30"/>
    </row>
    <row r="46" customFormat="false" ht="15" hidden="false" customHeight="false" outlineLevel="0" collapsed="false">
      <c r="A46" s="29"/>
      <c r="B46" s="30"/>
      <c r="C46" s="30"/>
      <c r="D46" s="30"/>
      <c r="E46" s="30"/>
      <c r="F46" s="30"/>
      <c r="G46" s="30"/>
      <c r="H46" s="30"/>
      <c r="I46" s="30"/>
    </row>
    <row r="47" customFormat="false" ht="15" hidden="false" customHeight="false" outlineLevel="0" collapsed="false">
      <c r="A47" s="29"/>
      <c r="B47" s="30"/>
      <c r="C47" s="30"/>
      <c r="D47" s="30"/>
      <c r="E47" s="30"/>
      <c r="F47" s="30"/>
      <c r="G47" s="30"/>
      <c r="H47" s="30"/>
      <c r="I47" s="30"/>
    </row>
    <row r="48" customFormat="false" ht="15" hidden="false" customHeight="false" outlineLevel="0" collapsed="false">
      <c r="A48" s="29"/>
      <c r="B48" s="30"/>
      <c r="C48" s="30"/>
      <c r="D48" s="30"/>
      <c r="E48" s="30"/>
      <c r="F48" s="30"/>
      <c r="G48" s="30"/>
      <c r="H48" s="30"/>
      <c r="I48" s="30"/>
    </row>
    <row r="49" customFormat="false" ht="15" hidden="false" customHeight="false" outlineLevel="0" collapsed="false">
      <c r="A49" s="29"/>
      <c r="B49" s="30"/>
      <c r="C49" s="30"/>
      <c r="D49" s="30"/>
      <c r="E49" s="30"/>
      <c r="F49" s="30"/>
      <c r="G49" s="30"/>
      <c r="H49" s="30"/>
      <c r="I49" s="30"/>
    </row>
    <row r="50" customFormat="false" ht="15" hidden="false" customHeight="false" outlineLevel="0" collapsed="false">
      <c r="A50" s="29"/>
      <c r="B50" s="30"/>
      <c r="C50" s="30"/>
      <c r="D50" s="30"/>
      <c r="E50" s="30"/>
      <c r="F50" s="30"/>
      <c r="G50" s="30"/>
      <c r="H50" s="30"/>
      <c r="I50" s="30"/>
    </row>
    <row r="51" customFormat="false" ht="15" hidden="false" customHeight="false" outlineLevel="0" collapsed="false">
      <c r="A51" s="29"/>
      <c r="B51" s="30"/>
      <c r="C51" s="30"/>
      <c r="D51" s="30"/>
      <c r="E51" s="30"/>
      <c r="F51" s="30"/>
      <c r="G51" s="30"/>
      <c r="H51" s="30"/>
      <c r="I51" s="30"/>
    </row>
    <row r="52" customFormat="false" ht="15" hidden="false" customHeight="false" outlineLevel="0" collapsed="false">
      <c r="A52" s="29"/>
      <c r="B52" s="30"/>
      <c r="C52" s="30"/>
      <c r="D52" s="30"/>
      <c r="E52" s="30"/>
      <c r="F52" s="30"/>
      <c r="G52" s="30"/>
      <c r="H52" s="30"/>
      <c r="I52" s="30"/>
    </row>
    <row r="53" customFormat="false" ht="15" hidden="false" customHeight="false" outlineLevel="0" collapsed="false">
      <c r="A53" s="29"/>
      <c r="B53" s="30"/>
      <c r="C53" s="30"/>
      <c r="D53" s="30"/>
      <c r="E53" s="30"/>
      <c r="F53" s="30"/>
      <c r="G53" s="30"/>
      <c r="H53" s="30"/>
      <c r="I53" s="30"/>
    </row>
    <row r="54" customFormat="false" ht="15" hidden="false" customHeight="false" outlineLevel="0" collapsed="false">
      <c r="A54" s="29"/>
      <c r="B54" s="30"/>
      <c r="C54" s="30"/>
      <c r="D54" s="30"/>
      <c r="E54" s="30"/>
      <c r="F54" s="30"/>
      <c r="G54" s="30"/>
      <c r="H54" s="30"/>
      <c r="I54" s="30"/>
    </row>
    <row r="55" customFormat="false" ht="15" hidden="false" customHeight="false" outlineLevel="0" collapsed="false">
      <c r="A55" s="29"/>
      <c r="B55" s="30"/>
      <c r="C55" s="30"/>
      <c r="D55" s="30"/>
      <c r="E55" s="30"/>
      <c r="F55" s="30"/>
      <c r="G55" s="30"/>
      <c r="H55" s="30"/>
      <c r="I55" s="30"/>
    </row>
    <row r="56" customFormat="false" ht="15" hidden="false" customHeight="false" outlineLevel="0" collapsed="false">
      <c r="A56" s="29"/>
      <c r="B56" s="30"/>
      <c r="C56" s="30"/>
      <c r="D56" s="30"/>
      <c r="E56" s="30"/>
      <c r="F56" s="30"/>
      <c r="G56" s="30"/>
      <c r="H56" s="30"/>
      <c r="I56" s="30"/>
    </row>
    <row r="57" customFormat="false" ht="15" hidden="false" customHeight="false" outlineLevel="0" collapsed="false">
      <c r="A57" s="29"/>
      <c r="B57" s="30"/>
      <c r="C57" s="30"/>
      <c r="D57" s="30"/>
      <c r="E57" s="30"/>
      <c r="F57" s="30"/>
      <c r="G57" s="30"/>
      <c r="H57" s="30"/>
      <c r="I57" s="30"/>
    </row>
    <row r="58" customFormat="false" ht="15" hidden="false" customHeight="false" outlineLevel="0" collapsed="false">
      <c r="A58" s="29"/>
      <c r="B58" s="30"/>
      <c r="C58" s="30"/>
      <c r="D58" s="30"/>
      <c r="E58" s="30"/>
      <c r="F58" s="30"/>
      <c r="G58" s="30"/>
      <c r="H58" s="30"/>
      <c r="I58" s="30"/>
    </row>
    <row r="59" customFormat="false" ht="15" hidden="false" customHeight="false" outlineLevel="0" collapsed="false">
      <c r="A59" s="29"/>
      <c r="B59" s="30"/>
      <c r="C59" s="30"/>
      <c r="D59" s="30"/>
      <c r="E59" s="30"/>
      <c r="F59" s="30"/>
      <c r="G59" s="30"/>
      <c r="H59" s="30"/>
      <c r="I59" s="30"/>
    </row>
    <row r="60" customFormat="false" ht="15" hidden="false" customHeight="false" outlineLevel="0" collapsed="false">
      <c r="A60" s="29"/>
      <c r="B60" s="30"/>
      <c r="C60" s="30"/>
      <c r="D60" s="30"/>
      <c r="E60" s="30"/>
      <c r="F60" s="30"/>
      <c r="G60" s="30"/>
      <c r="H60" s="30"/>
      <c r="I60" s="30"/>
    </row>
    <row r="61" customFormat="false" ht="15" hidden="false" customHeight="false" outlineLevel="0" collapsed="false">
      <c r="A61" s="29"/>
      <c r="B61" s="30"/>
      <c r="C61" s="30"/>
      <c r="D61" s="30"/>
      <c r="E61" s="30"/>
      <c r="F61" s="30"/>
      <c r="G61" s="30"/>
      <c r="H61" s="30"/>
      <c r="I61" s="30"/>
    </row>
    <row r="62" customFormat="false" ht="15" hidden="false" customHeight="false" outlineLevel="0" collapsed="false">
      <c r="A62" s="29"/>
      <c r="B62" s="30"/>
      <c r="C62" s="30"/>
      <c r="D62" s="30"/>
      <c r="E62" s="30"/>
      <c r="F62" s="30"/>
      <c r="G62" s="30"/>
      <c r="H62" s="30"/>
      <c r="I62" s="30"/>
    </row>
    <row r="63" customFormat="false" ht="15" hidden="false" customHeight="false" outlineLevel="0" collapsed="false">
      <c r="A63" s="29"/>
      <c r="B63" s="30"/>
      <c r="C63" s="30"/>
      <c r="D63" s="30"/>
      <c r="E63" s="30"/>
      <c r="F63" s="30"/>
      <c r="G63" s="30"/>
      <c r="H63" s="30"/>
      <c r="I63" s="30"/>
    </row>
    <row r="64" customFormat="false" ht="15" hidden="false" customHeight="false" outlineLevel="0" collapsed="false">
      <c r="A64" s="29"/>
      <c r="B64" s="30"/>
      <c r="C64" s="30"/>
      <c r="D64" s="30"/>
      <c r="E64" s="30"/>
      <c r="F64" s="30"/>
      <c r="G64" s="30"/>
      <c r="H64" s="30"/>
      <c r="I64" s="30"/>
    </row>
    <row r="65" customFormat="false" ht="15" hidden="false" customHeight="false" outlineLevel="0" collapsed="false">
      <c r="A65" s="29"/>
      <c r="B65" s="30"/>
      <c r="C65" s="30"/>
      <c r="D65" s="30"/>
      <c r="E65" s="30"/>
      <c r="F65" s="30"/>
      <c r="G65" s="30"/>
      <c r="H65" s="30"/>
      <c r="I65" s="30"/>
    </row>
    <row r="66" customFormat="false" ht="15" hidden="false" customHeight="false" outlineLevel="0" collapsed="false">
      <c r="A66" s="29"/>
      <c r="B66" s="30"/>
      <c r="C66" s="30"/>
      <c r="D66" s="30"/>
      <c r="E66" s="30"/>
      <c r="F66" s="30"/>
      <c r="G66" s="30"/>
      <c r="H66" s="30"/>
      <c r="I66" s="30"/>
    </row>
    <row r="67" customFormat="false" ht="15" hidden="false" customHeight="false" outlineLevel="0" collapsed="false">
      <c r="A67" s="29"/>
      <c r="B67" s="30"/>
      <c r="C67" s="30"/>
      <c r="D67" s="30"/>
      <c r="E67" s="30"/>
      <c r="F67" s="30"/>
      <c r="G67" s="30"/>
      <c r="H67" s="30"/>
      <c r="I67" s="30"/>
    </row>
    <row r="68" customFormat="false" ht="15" hidden="false" customHeight="false" outlineLevel="0" collapsed="false">
      <c r="A68" s="29"/>
      <c r="B68" s="30"/>
      <c r="C68" s="30"/>
      <c r="D68" s="30"/>
      <c r="E68" s="30"/>
      <c r="F68" s="30"/>
      <c r="G68" s="30"/>
      <c r="H68" s="30"/>
      <c r="I68" s="30"/>
    </row>
    <row r="69" customFormat="false" ht="15" hidden="false" customHeight="false" outlineLevel="0" collapsed="false">
      <c r="A69" s="29"/>
      <c r="B69" s="30"/>
      <c r="C69" s="30"/>
      <c r="D69" s="30"/>
      <c r="E69" s="30"/>
      <c r="F69" s="30"/>
      <c r="G69" s="30"/>
      <c r="H69" s="30"/>
      <c r="I69" s="30"/>
    </row>
    <row r="70" customFormat="false" ht="15" hidden="false" customHeight="false" outlineLevel="0" collapsed="false">
      <c r="A70" s="29"/>
      <c r="B70" s="30"/>
      <c r="C70" s="30"/>
      <c r="D70" s="30"/>
      <c r="E70" s="30"/>
      <c r="F70" s="30"/>
      <c r="G70" s="30"/>
      <c r="H70" s="30"/>
      <c r="I70" s="30"/>
    </row>
    <row r="71" customFormat="false" ht="15" hidden="false" customHeight="false" outlineLevel="0" collapsed="false">
      <c r="A71" s="29"/>
      <c r="B71" s="30"/>
      <c r="C71" s="30"/>
      <c r="D71" s="30"/>
      <c r="E71" s="30"/>
      <c r="F71" s="30"/>
      <c r="G71" s="30"/>
      <c r="H71" s="30"/>
      <c r="I71" s="30"/>
    </row>
    <row r="72" customFormat="false" ht="15" hidden="false" customHeight="false" outlineLevel="0" collapsed="false">
      <c r="A72" s="29"/>
      <c r="B72" s="30"/>
      <c r="C72" s="30"/>
      <c r="D72" s="30"/>
      <c r="E72" s="30"/>
      <c r="F72" s="30"/>
      <c r="G72" s="30"/>
      <c r="H72" s="30"/>
      <c r="I72" s="30"/>
    </row>
    <row r="73" customFormat="false" ht="15" hidden="false" customHeight="false" outlineLevel="0" collapsed="false">
      <c r="A73" s="29"/>
      <c r="B73" s="30"/>
      <c r="C73" s="30"/>
      <c r="D73" s="30"/>
      <c r="E73" s="30"/>
      <c r="F73" s="30"/>
      <c r="G73" s="30"/>
      <c r="H73" s="30"/>
      <c r="I73" s="30"/>
    </row>
    <row r="74" customFormat="false" ht="15" hidden="false" customHeight="false" outlineLevel="0" collapsed="false">
      <c r="A74" s="29"/>
      <c r="B74" s="30"/>
      <c r="C74" s="30"/>
      <c r="D74" s="30"/>
      <c r="E74" s="30"/>
      <c r="F74" s="30"/>
      <c r="G74" s="30"/>
      <c r="H74" s="30"/>
      <c r="I74" s="30"/>
    </row>
    <row r="75" customFormat="false" ht="15" hidden="false" customHeight="false" outlineLevel="0" collapsed="false">
      <c r="A75" s="29"/>
      <c r="B75" s="30"/>
      <c r="C75" s="30"/>
      <c r="D75" s="30"/>
      <c r="E75" s="30"/>
      <c r="F75" s="30"/>
      <c r="G75" s="30"/>
      <c r="H75" s="30"/>
      <c r="I75" s="30"/>
    </row>
    <row r="76" customFormat="false" ht="15" hidden="false" customHeight="false" outlineLevel="0" collapsed="false">
      <c r="A76" s="29"/>
      <c r="B76" s="30"/>
      <c r="C76" s="30"/>
      <c r="D76" s="30"/>
      <c r="E76" s="30"/>
      <c r="F76" s="30"/>
      <c r="G76" s="30"/>
      <c r="H76" s="30"/>
      <c r="I76" s="30"/>
    </row>
    <row r="77" customFormat="false" ht="15" hidden="false" customHeight="false" outlineLevel="0" collapsed="false">
      <c r="A77" s="29"/>
      <c r="B77" s="30"/>
      <c r="C77" s="30"/>
      <c r="D77" s="30"/>
      <c r="E77" s="30"/>
      <c r="F77" s="30"/>
      <c r="G77" s="30"/>
      <c r="H77" s="30"/>
      <c r="I77" s="30"/>
    </row>
    <row r="78" customFormat="false" ht="15" hidden="false" customHeight="false" outlineLevel="0" collapsed="false">
      <c r="A78" s="29"/>
      <c r="B78" s="30"/>
      <c r="C78" s="30"/>
      <c r="D78" s="30"/>
      <c r="E78" s="30"/>
      <c r="F78" s="30"/>
      <c r="G78" s="30"/>
      <c r="H78" s="30"/>
      <c r="I78" s="30"/>
    </row>
    <row r="79" customFormat="false" ht="15" hidden="false" customHeight="false" outlineLevel="0" collapsed="false">
      <c r="A79" s="29"/>
      <c r="B79" s="30"/>
      <c r="C79" s="30"/>
      <c r="D79" s="30"/>
      <c r="E79" s="30"/>
      <c r="F79" s="30"/>
      <c r="G79" s="30"/>
      <c r="H79" s="30"/>
      <c r="I79" s="30"/>
    </row>
    <row r="80" customFormat="false" ht="15" hidden="false" customHeight="false" outlineLevel="0" collapsed="false">
      <c r="A80" s="29"/>
      <c r="B80" s="30"/>
      <c r="C80" s="30"/>
      <c r="D80" s="30"/>
      <c r="E80" s="30"/>
      <c r="F80" s="30"/>
      <c r="G80" s="30"/>
      <c r="H80" s="30"/>
      <c r="I80" s="30"/>
    </row>
    <row r="81" customFormat="false" ht="15" hidden="false" customHeight="false" outlineLevel="0" collapsed="false">
      <c r="A81" s="29"/>
      <c r="B81" s="30"/>
      <c r="C81" s="30"/>
      <c r="D81" s="30"/>
      <c r="E81" s="30"/>
      <c r="F81" s="30"/>
      <c r="G81" s="30"/>
      <c r="H81" s="30"/>
      <c r="I81" s="30"/>
    </row>
    <row r="82" customFormat="false" ht="15" hidden="false" customHeight="false" outlineLevel="0" collapsed="false">
      <c r="A82" s="29"/>
      <c r="B82" s="30"/>
      <c r="C82" s="30"/>
      <c r="D82" s="30"/>
      <c r="E82" s="30"/>
      <c r="F82" s="30"/>
      <c r="G82" s="30"/>
      <c r="H82" s="30"/>
      <c r="I82" s="30"/>
    </row>
    <row r="83" customFormat="false" ht="15" hidden="false" customHeight="false" outlineLevel="0" collapsed="false">
      <c r="A83" s="29"/>
      <c r="B83" s="30"/>
      <c r="C83" s="30"/>
      <c r="D83" s="30"/>
      <c r="E83" s="30"/>
      <c r="F83" s="30"/>
      <c r="G83" s="30"/>
      <c r="H83" s="30"/>
      <c r="I83" s="30"/>
    </row>
    <row r="84" customFormat="false" ht="15" hidden="false" customHeight="false" outlineLevel="0" collapsed="false">
      <c r="A84" s="29"/>
      <c r="B84" s="30"/>
      <c r="C84" s="30"/>
      <c r="D84" s="30"/>
      <c r="E84" s="30"/>
      <c r="F84" s="30"/>
      <c r="G84" s="30"/>
      <c r="H84" s="30"/>
      <c r="I84" s="30"/>
    </row>
    <row r="85" customFormat="false" ht="15" hidden="false" customHeight="false" outlineLevel="0" collapsed="false">
      <c r="A85" s="29"/>
      <c r="B85" s="30"/>
      <c r="C85" s="30"/>
      <c r="D85" s="30"/>
      <c r="E85" s="30"/>
      <c r="F85" s="30"/>
      <c r="G85" s="30"/>
      <c r="H85" s="30"/>
      <c r="I85" s="30"/>
    </row>
    <row r="86" customFormat="false" ht="15" hidden="false" customHeight="false" outlineLevel="0" collapsed="false">
      <c r="A86" s="29"/>
      <c r="B86" s="30"/>
      <c r="C86" s="30"/>
      <c r="D86" s="30"/>
      <c r="E86" s="30"/>
      <c r="F86" s="30"/>
      <c r="G86" s="30"/>
      <c r="H86" s="30"/>
      <c r="I86" s="30"/>
    </row>
    <row r="87" customFormat="false" ht="15" hidden="false" customHeight="false" outlineLevel="0" collapsed="false">
      <c r="A87" s="29"/>
      <c r="B87" s="30"/>
      <c r="C87" s="30"/>
      <c r="D87" s="30"/>
      <c r="E87" s="30"/>
      <c r="F87" s="30"/>
      <c r="G87" s="30"/>
      <c r="H87" s="30"/>
      <c r="I87" s="30"/>
    </row>
    <row r="88" customFormat="false" ht="15" hidden="false" customHeight="false" outlineLevel="0" collapsed="false">
      <c r="A88" s="29"/>
      <c r="B88" s="30"/>
      <c r="C88" s="30"/>
      <c r="D88" s="30"/>
      <c r="E88" s="30"/>
      <c r="F88" s="30"/>
      <c r="G88" s="30"/>
      <c r="H88" s="30"/>
      <c r="I88" s="30"/>
    </row>
    <row r="89" customFormat="false" ht="15" hidden="false" customHeight="false" outlineLevel="0" collapsed="false">
      <c r="A89" s="29"/>
      <c r="B89" s="30"/>
      <c r="C89" s="30"/>
      <c r="D89" s="30"/>
      <c r="E89" s="30"/>
      <c r="F89" s="30"/>
      <c r="G89" s="30"/>
      <c r="H89" s="30"/>
      <c r="I89" s="30"/>
    </row>
    <row r="90" customFormat="false" ht="15" hidden="false" customHeight="false" outlineLevel="0" collapsed="false">
      <c r="A90" s="29"/>
      <c r="B90" s="30"/>
      <c r="C90" s="30"/>
      <c r="D90" s="30"/>
      <c r="E90" s="30"/>
      <c r="F90" s="30"/>
      <c r="G90" s="30"/>
      <c r="H90" s="30"/>
      <c r="I90" s="30"/>
    </row>
    <row r="91" customFormat="false" ht="15" hidden="false" customHeight="false" outlineLevel="0" collapsed="false">
      <c r="A91" s="29"/>
      <c r="B91" s="30"/>
      <c r="C91" s="30"/>
      <c r="D91" s="30"/>
      <c r="E91" s="30"/>
      <c r="F91" s="30"/>
      <c r="G91" s="30"/>
      <c r="H91" s="30"/>
      <c r="I91" s="30"/>
    </row>
    <row r="92" customFormat="false" ht="15" hidden="false" customHeight="false" outlineLevel="0" collapsed="false">
      <c r="A92" s="29"/>
      <c r="B92" s="30"/>
      <c r="C92" s="30"/>
      <c r="D92" s="30"/>
      <c r="E92" s="30"/>
      <c r="F92" s="30"/>
      <c r="G92" s="30"/>
      <c r="H92" s="30"/>
      <c r="I92" s="30"/>
    </row>
    <row r="93" customFormat="false" ht="15" hidden="false" customHeight="false" outlineLevel="0" collapsed="false">
      <c r="A93" s="29"/>
      <c r="B93" s="30"/>
      <c r="C93" s="30"/>
      <c r="D93" s="30"/>
      <c r="E93" s="30"/>
      <c r="F93" s="30"/>
      <c r="G93" s="30"/>
      <c r="H93" s="30"/>
      <c r="I93" s="30"/>
    </row>
    <row r="94" customFormat="false" ht="15" hidden="false" customHeight="false" outlineLevel="0" collapsed="false">
      <c r="A94" s="29"/>
      <c r="B94" s="30"/>
      <c r="C94" s="30"/>
      <c r="D94" s="30"/>
      <c r="E94" s="30"/>
      <c r="F94" s="30"/>
      <c r="G94" s="30"/>
      <c r="H94" s="30"/>
      <c r="I94" s="30"/>
    </row>
    <row r="95" customFormat="false" ht="15" hidden="false" customHeight="false" outlineLevel="0" collapsed="false">
      <c r="A95" s="29"/>
      <c r="B95" s="30"/>
      <c r="C95" s="30"/>
      <c r="D95" s="30"/>
      <c r="E95" s="30"/>
      <c r="F95" s="30"/>
      <c r="G95" s="30"/>
      <c r="H95" s="30"/>
      <c r="I95" s="30"/>
    </row>
    <row r="96" customFormat="false" ht="15" hidden="false" customHeight="false" outlineLevel="0" collapsed="false">
      <c r="A96" s="29"/>
      <c r="B96" s="30"/>
      <c r="C96" s="30"/>
      <c r="D96" s="30"/>
      <c r="E96" s="30"/>
      <c r="F96" s="30"/>
      <c r="G96" s="30"/>
      <c r="H96" s="30"/>
      <c r="I96" s="30"/>
    </row>
    <row r="97" customFormat="false" ht="15" hidden="false" customHeight="false" outlineLevel="0" collapsed="false">
      <c r="A97" s="29"/>
      <c r="B97" s="30"/>
      <c r="C97" s="30"/>
      <c r="D97" s="30"/>
      <c r="E97" s="30"/>
      <c r="F97" s="30"/>
      <c r="G97" s="30"/>
      <c r="H97" s="30"/>
      <c r="I97" s="30"/>
    </row>
    <row r="98" customFormat="false" ht="15" hidden="false" customHeight="false" outlineLevel="0" collapsed="false">
      <c r="A98" s="29"/>
      <c r="B98" s="30"/>
      <c r="C98" s="30"/>
      <c r="D98" s="30"/>
      <c r="E98" s="30"/>
      <c r="F98" s="30"/>
      <c r="G98" s="30"/>
      <c r="H98" s="30"/>
      <c r="I98" s="30"/>
    </row>
    <row r="99" customFormat="false" ht="15" hidden="false" customHeight="false" outlineLevel="0" collapsed="false">
      <c r="A99" s="29"/>
      <c r="B99" s="30"/>
      <c r="C99" s="30"/>
      <c r="D99" s="30"/>
      <c r="E99" s="30"/>
      <c r="F99" s="30"/>
      <c r="G99" s="30"/>
      <c r="H99" s="30"/>
      <c r="I99" s="30"/>
    </row>
    <row r="100" customFormat="false" ht="15" hidden="false" customHeight="false" outlineLevel="0" collapsed="false">
      <c r="A100" s="29"/>
      <c r="B100" s="30"/>
      <c r="C100" s="30"/>
      <c r="D100" s="30"/>
      <c r="E100" s="30"/>
      <c r="F100" s="30"/>
      <c r="G100" s="30"/>
      <c r="H100" s="30"/>
      <c r="I100" s="30"/>
    </row>
    <row r="101" customFormat="false" ht="15" hidden="false" customHeight="false" outlineLevel="0" collapsed="false">
      <c r="A101" s="29"/>
      <c r="B101" s="30"/>
      <c r="C101" s="30"/>
      <c r="D101" s="30"/>
      <c r="E101" s="30"/>
      <c r="F101" s="30"/>
      <c r="G101" s="30"/>
      <c r="H101" s="30"/>
      <c r="I101" s="30"/>
    </row>
    <row r="102" customFormat="false" ht="15" hidden="false" customHeight="false" outlineLevel="0" collapsed="false">
      <c r="A102" s="29"/>
      <c r="B102" s="30"/>
      <c r="C102" s="30"/>
      <c r="D102" s="30"/>
      <c r="E102" s="30"/>
      <c r="F102" s="30"/>
      <c r="G102" s="30"/>
      <c r="H102" s="30"/>
      <c r="I102" s="30"/>
    </row>
    <row r="103" customFormat="false" ht="15" hidden="false" customHeight="false" outlineLevel="0" collapsed="false">
      <c r="A103" s="29"/>
      <c r="B103" s="30"/>
      <c r="C103" s="30"/>
      <c r="D103" s="30"/>
      <c r="E103" s="30"/>
      <c r="F103" s="30"/>
      <c r="G103" s="30"/>
      <c r="H103" s="30"/>
      <c r="I103" s="30"/>
    </row>
    <row r="104" customFormat="false" ht="15" hidden="false" customHeight="false" outlineLevel="0" collapsed="false">
      <c r="A104" s="29"/>
      <c r="B104" s="30"/>
      <c r="C104" s="30"/>
      <c r="D104" s="30"/>
      <c r="E104" s="30"/>
      <c r="F104" s="30"/>
      <c r="G104" s="30"/>
      <c r="H104" s="30"/>
      <c r="I104" s="30"/>
    </row>
    <row r="105" customFormat="false" ht="15" hidden="false" customHeight="false" outlineLevel="0" collapsed="false">
      <c r="A105" s="29"/>
      <c r="B105" s="30"/>
      <c r="C105" s="30"/>
      <c r="D105" s="30"/>
      <c r="E105" s="30"/>
      <c r="F105" s="30"/>
      <c r="G105" s="30"/>
      <c r="H105" s="30"/>
      <c r="I105" s="30"/>
    </row>
    <row r="106" customFormat="false" ht="15" hidden="false" customHeight="false" outlineLevel="0" collapsed="false">
      <c r="A106" s="29"/>
      <c r="B106" s="30"/>
      <c r="C106" s="30"/>
      <c r="D106" s="30"/>
      <c r="E106" s="30"/>
      <c r="F106" s="30"/>
      <c r="G106" s="30"/>
      <c r="H106" s="30"/>
      <c r="I106" s="30"/>
    </row>
    <row r="107" customFormat="false" ht="15" hidden="false" customHeight="false" outlineLevel="0" collapsed="false">
      <c r="A107" s="29"/>
      <c r="B107" s="30"/>
      <c r="C107" s="30"/>
      <c r="D107" s="30"/>
      <c r="E107" s="30"/>
      <c r="F107" s="30"/>
      <c r="G107" s="30"/>
      <c r="H107" s="30"/>
      <c r="I107" s="30"/>
    </row>
    <row r="108" customFormat="false" ht="15" hidden="false" customHeight="false" outlineLevel="0" collapsed="false">
      <c r="A108" s="29"/>
      <c r="B108" s="30"/>
      <c r="C108" s="30"/>
      <c r="D108" s="30"/>
      <c r="E108" s="30"/>
      <c r="F108" s="30"/>
      <c r="G108" s="30"/>
      <c r="H108" s="30"/>
      <c r="I108" s="30"/>
    </row>
    <row r="109" customFormat="false" ht="15" hidden="false" customHeight="false" outlineLevel="0" collapsed="false">
      <c r="A109" s="29"/>
      <c r="B109" s="30"/>
      <c r="C109" s="30"/>
      <c r="D109" s="30"/>
      <c r="E109" s="30"/>
      <c r="F109" s="30"/>
      <c r="G109" s="30"/>
      <c r="H109" s="30"/>
      <c r="I109" s="30"/>
    </row>
    <row r="110" customFormat="false" ht="15" hidden="false" customHeight="false" outlineLevel="0" collapsed="false">
      <c r="A110" s="29"/>
      <c r="B110" s="30"/>
      <c r="C110" s="30"/>
      <c r="D110" s="30"/>
      <c r="E110" s="30"/>
      <c r="F110" s="30"/>
      <c r="G110" s="30"/>
      <c r="H110" s="30"/>
      <c r="I110" s="30"/>
    </row>
    <row r="111" customFormat="false" ht="15" hidden="false" customHeight="false" outlineLevel="0" collapsed="false">
      <c r="A111" s="29"/>
      <c r="B111" s="30"/>
      <c r="C111" s="30"/>
      <c r="D111" s="30"/>
      <c r="E111" s="30"/>
      <c r="F111" s="30"/>
      <c r="G111" s="30"/>
      <c r="H111" s="30"/>
      <c r="I111" s="30"/>
    </row>
    <row r="112" customFormat="false" ht="15" hidden="false" customHeight="false" outlineLevel="0" collapsed="false">
      <c r="A112" s="29"/>
      <c r="B112" s="30"/>
      <c r="C112" s="30"/>
      <c r="D112" s="30"/>
      <c r="E112" s="30"/>
      <c r="F112" s="30"/>
      <c r="G112" s="30"/>
      <c r="H112" s="30"/>
      <c r="I112" s="30"/>
    </row>
    <row r="113" customFormat="false" ht="15" hidden="false" customHeight="false" outlineLevel="0" collapsed="false">
      <c r="A113" s="29"/>
      <c r="B113" s="30"/>
      <c r="C113" s="30"/>
      <c r="D113" s="30"/>
      <c r="E113" s="30"/>
      <c r="F113" s="30"/>
      <c r="G113" s="30"/>
      <c r="H113" s="30"/>
      <c r="I113" s="30"/>
    </row>
    <row r="114" customFormat="false" ht="15" hidden="false" customHeight="false" outlineLevel="0" collapsed="false">
      <c r="A114" s="29"/>
      <c r="B114" s="30"/>
      <c r="C114" s="30"/>
      <c r="D114" s="30"/>
      <c r="E114" s="30"/>
      <c r="F114" s="30"/>
      <c r="G114" s="30"/>
      <c r="H114" s="30"/>
      <c r="I114" s="30"/>
    </row>
    <row r="115" customFormat="false" ht="15" hidden="false" customHeight="false" outlineLevel="0" collapsed="false">
      <c r="A115" s="29"/>
      <c r="B115" s="30"/>
      <c r="C115" s="30"/>
      <c r="D115" s="30"/>
      <c r="E115" s="30"/>
      <c r="F115" s="30"/>
      <c r="G115" s="30"/>
      <c r="H115" s="30"/>
      <c r="I115" s="30"/>
    </row>
    <row r="116" customFormat="false" ht="15" hidden="false" customHeight="false" outlineLevel="0" collapsed="false">
      <c r="A116" s="29"/>
      <c r="B116" s="30"/>
      <c r="C116" s="30"/>
      <c r="D116" s="30"/>
      <c r="E116" s="30"/>
      <c r="F116" s="30"/>
      <c r="G116" s="30"/>
      <c r="H116" s="30"/>
      <c r="I116" s="30"/>
    </row>
    <row r="117" customFormat="false" ht="15" hidden="false" customHeight="false" outlineLevel="0" collapsed="false">
      <c r="A117" s="29"/>
      <c r="B117" s="30"/>
      <c r="C117" s="30"/>
      <c r="D117" s="30"/>
      <c r="E117" s="30"/>
      <c r="F117" s="30"/>
      <c r="G117" s="30"/>
      <c r="H117" s="30"/>
      <c r="I117" s="30"/>
    </row>
    <row r="118" customFormat="false" ht="15" hidden="false" customHeight="false" outlineLevel="0" collapsed="false">
      <c r="A118" s="29"/>
      <c r="B118" s="30"/>
      <c r="C118" s="30"/>
      <c r="D118" s="30"/>
      <c r="E118" s="30"/>
      <c r="F118" s="30"/>
      <c r="G118" s="30"/>
      <c r="H118" s="30"/>
      <c r="I118" s="30"/>
    </row>
    <row r="119" customFormat="false" ht="15" hidden="false" customHeight="false" outlineLevel="0" collapsed="false">
      <c r="A119" s="29"/>
      <c r="B119" s="30"/>
      <c r="C119" s="30"/>
      <c r="D119" s="30"/>
      <c r="E119" s="30"/>
      <c r="F119" s="30"/>
      <c r="G119" s="30"/>
      <c r="H119" s="30"/>
      <c r="I119" s="30"/>
    </row>
    <row r="120" customFormat="false" ht="15" hidden="false" customHeight="false" outlineLevel="0" collapsed="false">
      <c r="A120" s="29"/>
      <c r="B120" s="30"/>
      <c r="C120" s="30"/>
      <c r="D120" s="30"/>
      <c r="E120" s="30"/>
      <c r="F120" s="30"/>
      <c r="G120" s="30"/>
      <c r="H120" s="30"/>
      <c r="I120" s="30"/>
    </row>
    <row r="121" customFormat="false" ht="15" hidden="false" customHeight="false" outlineLevel="0" collapsed="false">
      <c r="A121" s="29"/>
      <c r="B121" s="30"/>
      <c r="C121" s="30"/>
      <c r="D121" s="30"/>
      <c r="E121" s="30"/>
      <c r="F121" s="30"/>
      <c r="G121" s="30"/>
      <c r="H121" s="30"/>
      <c r="I121" s="30"/>
    </row>
    <row r="122" customFormat="false" ht="15" hidden="false" customHeight="false" outlineLevel="0" collapsed="false">
      <c r="A122" s="29"/>
      <c r="B122" s="30"/>
      <c r="C122" s="30"/>
      <c r="D122" s="30"/>
      <c r="E122" s="30"/>
      <c r="F122" s="30"/>
      <c r="G122" s="30"/>
      <c r="H122" s="30"/>
      <c r="I122" s="30"/>
    </row>
    <row r="123" customFormat="false" ht="15" hidden="false" customHeight="false" outlineLevel="0" collapsed="false">
      <c r="A123" s="29"/>
      <c r="B123" s="30"/>
      <c r="C123" s="30"/>
      <c r="D123" s="30"/>
      <c r="E123" s="30"/>
      <c r="F123" s="30"/>
      <c r="G123" s="30"/>
      <c r="H123" s="30"/>
      <c r="I123" s="30"/>
    </row>
    <row r="124" customFormat="false" ht="15" hidden="false" customHeight="false" outlineLevel="0" collapsed="false">
      <c r="A124" s="29"/>
      <c r="B124" s="30"/>
      <c r="C124" s="30"/>
      <c r="D124" s="30"/>
      <c r="E124" s="30"/>
      <c r="F124" s="30"/>
      <c r="G124" s="30"/>
      <c r="H124" s="30"/>
      <c r="I124" s="30"/>
    </row>
    <row r="125" customFormat="false" ht="15" hidden="false" customHeight="false" outlineLevel="0" collapsed="false">
      <c r="A125" s="29"/>
      <c r="B125" s="30"/>
      <c r="C125" s="30"/>
      <c r="D125" s="30"/>
      <c r="E125" s="30"/>
      <c r="F125" s="30"/>
      <c r="G125" s="30"/>
      <c r="H125" s="30"/>
      <c r="I125" s="30"/>
    </row>
    <row r="126" customFormat="false" ht="15" hidden="false" customHeight="false" outlineLevel="0" collapsed="false">
      <c r="A126" s="29"/>
      <c r="B126" s="30"/>
      <c r="C126" s="30"/>
      <c r="D126" s="30"/>
      <c r="E126" s="30"/>
      <c r="F126" s="30"/>
      <c r="G126" s="30"/>
      <c r="H126" s="30"/>
      <c r="I126" s="30"/>
    </row>
    <row r="127" customFormat="false" ht="15" hidden="false" customHeight="false" outlineLevel="0" collapsed="false">
      <c r="A127" s="29"/>
      <c r="B127" s="30"/>
      <c r="C127" s="30"/>
      <c r="D127" s="30"/>
      <c r="E127" s="30"/>
      <c r="F127" s="30"/>
      <c r="G127" s="30"/>
      <c r="H127" s="30"/>
      <c r="I127" s="30"/>
    </row>
    <row r="128" customFormat="false" ht="15" hidden="false" customHeight="false" outlineLevel="0" collapsed="false">
      <c r="A128" s="29"/>
      <c r="B128" s="30"/>
      <c r="C128" s="30"/>
      <c r="D128" s="30"/>
      <c r="E128" s="30"/>
      <c r="F128" s="30"/>
      <c r="G128" s="30"/>
      <c r="H128" s="30"/>
      <c r="I128" s="30"/>
    </row>
    <row r="129" customFormat="false" ht="15" hidden="false" customHeight="false" outlineLevel="0" collapsed="false">
      <c r="A129" s="29"/>
      <c r="B129" s="30"/>
      <c r="C129" s="30"/>
      <c r="D129" s="30"/>
      <c r="E129" s="30"/>
      <c r="F129" s="30"/>
      <c r="G129" s="30"/>
      <c r="H129" s="30"/>
      <c r="I129" s="30"/>
    </row>
    <row r="130" customFormat="false" ht="15" hidden="false" customHeight="false" outlineLevel="0" collapsed="false">
      <c r="A130" s="29"/>
      <c r="B130" s="30"/>
      <c r="C130" s="30"/>
      <c r="D130" s="30"/>
      <c r="E130" s="30"/>
      <c r="F130" s="30"/>
      <c r="G130" s="30"/>
      <c r="H130" s="30"/>
      <c r="I130" s="30"/>
    </row>
    <row r="131" customFormat="false" ht="15" hidden="false" customHeight="false" outlineLevel="0" collapsed="false">
      <c r="A131" s="29"/>
      <c r="B131" s="30"/>
      <c r="C131" s="30"/>
      <c r="D131" s="30"/>
      <c r="E131" s="30"/>
      <c r="F131" s="30"/>
      <c r="G131" s="30"/>
      <c r="H131" s="30"/>
      <c r="I131" s="30"/>
    </row>
    <row r="132" customFormat="false" ht="15" hidden="false" customHeight="false" outlineLevel="0" collapsed="false">
      <c r="A132" s="29"/>
      <c r="B132" s="30"/>
      <c r="C132" s="30"/>
      <c r="D132" s="30"/>
      <c r="E132" s="30"/>
      <c r="F132" s="30"/>
      <c r="G132" s="30"/>
      <c r="H132" s="30"/>
      <c r="I132" s="30"/>
    </row>
    <row r="133" customFormat="false" ht="15" hidden="false" customHeight="false" outlineLevel="0" collapsed="false">
      <c r="A133" s="29"/>
      <c r="B133" s="30"/>
      <c r="C133" s="30"/>
      <c r="D133" s="30"/>
      <c r="E133" s="30"/>
      <c r="F133" s="30"/>
      <c r="G133" s="30"/>
      <c r="H133" s="30"/>
      <c r="I133" s="30"/>
    </row>
    <row r="134" customFormat="false" ht="15" hidden="false" customHeight="false" outlineLevel="0" collapsed="false">
      <c r="A134" s="29"/>
      <c r="B134" s="30"/>
      <c r="C134" s="30"/>
      <c r="D134" s="30"/>
      <c r="E134" s="30"/>
      <c r="F134" s="30"/>
      <c r="G134" s="30"/>
      <c r="H134" s="30"/>
      <c r="I134" s="30"/>
    </row>
    <row r="135" customFormat="false" ht="15" hidden="false" customHeight="false" outlineLevel="0" collapsed="false">
      <c r="A135" s="29"/>
      <c r="B135" s="30"/>
      <c r="C135" s="30"/>
      <c r="D135" s="30"/>
      <c r="E135" s="30"/>
      <c r="F135" s="30"/>
      <c r="G135" s="30"/>
      <c r="H135" s="30"/>
      <c r="I135" s="30"/>
    </row>
    <row r="136" customFormat="false" ht="15" hidden="false" customHeight="false" outlineLevel="0" collapsed="false">
      <c r="A136" s="29"/>
      <c r="B136" s="30"/>
      <c r="C136" s="30"/>
      <c r="D136" s="30"/>
      <c r="E136" s="30"/>
      <c r="F136" s="30"/>
      <c r="G136" s="30"/>
      <c r="H136" s="30"/>
      <c r="I136" s="30"/>
    </row>
    <row r="137" customFormat="false" ht="15" hidden="false" customHeight="false" outlineLevel="0" collapsed="false">
      <c r="A137" s="29"/>
      <c r="B137" s="30"/>
      <c r="C137" s="30"/>
      <c r="D137" s="30"/>
      <c r="E137" s="30"/>
      <c r="F137" s="30"/>
      <c r="G137" s="30"/>
      <c r="H137" s="30"/>
      <c r="I137" s="30"/>
    </row>
    <row r="138" customFormat="false" ht="15" hidden="false" customHeight="false" outlineLevel="0" collapsed="false">
      <c r="A138" s="29"/>
      <c r="B138" s="30"/>
      <c r="C138" s="30"/>
      <c r="D138" s="30"/>
      <c r="E138" s="30"/>
      <c r="F138" s="30"/>
      <c r="G138" s="30"/>
      <c r="H138" s="30"/>
      <c r="I138" s="30"/>
    </row>
    <row r="139" customFormat="false" ht="15" hidden="false" customHeight="false" outlineLevel="0" collapsed="false">
      <c r="A139" s="29"/>
      <c r="B139" s="30"/>
      <c r="C139" s="30"/>
      <c r="D139" s="30"/>
      <c r="E139" s="30"/>
      <c r="F139" s="30"/>
      <c r="G139" s="30"/>
      <c r="H139" s="30"/>
      <c r="I139" s="30"/>
    </row>
    <row r="140" customFormat="false" ht="15" hidden="false" customHeight="false" outlineLevel="0" collapsed="false">
      <c r="A140" s="29"/>
      <c r="B140" s="30"/>
      <c r="C140" s="30"/>
      <c r="D140" s="30"/>
      <c r="E140" s="30"/>
      <c r="F140" s="30"/>
      <c r="G140" s="30"/>
      <c r="H140" s="30"/>
      <c r="I140" s="30"/>
    </row>
    <row r="141" customFormat="false" ht="15" hidden="false" customHeight="false" outlineLevel="0" collapsed="false">
      <c r="A141" s="29"/>
      <c r="B141" s="30"/>
      <c r="C141" s="30"/>
      <c r="D141" s="30"/>
      <c r="E141" s="30"/>
      <c r="F141" s="30"/>
      <c r="G141" s="30"/>
      <c r="H141" s="30"/>
      <c r="I141" s="30"/>
    </row>
    <row r="142" customFormat="false" ht="15" hidden="false" customHeight="false" outlineLevel="0" collapsed="false">
      <c r="A142" s="29"/>
      <c r="B142" s="30"/>
      <c r="C142" s="30"/>
      <c r="D142" s="30"/>
      <c r="E142" s="30"/>
      <c r="F142" s="30"/>
      <c r="G142" s="30"/>
      <c r="H142" s="30"/>
      <c r="I142" s="30"/>
    </row>
    <row r="143" customFormat="false" ht="15" hidden="false" customHeight="false" outlineLevel="0" collapsed="false">
      <c r="A143" s="29"/>
      <c r="B143" s="30"/>
      <c r="C143" s="30"/>
      <c r="D143" s="30"/>
      <c r="E143" s="30"/>
      <c r="F143" s="30"/>
      <c r="G143" s="30"/>
      <c r="H143" s="30"/>
      <c r="I143" s="30"/>
    </row>
    <row r="144" customFormat="false" ht="15" hidden="false" customHeight="false" outlineLevel="0" collapsed="false">
      <c r="A144" s="29"/>
      <c r="B144" s="30"/>
      <c r="C144" s="30"/>
      <c r="D144" s="30"/>
      <c r="E144" s="30"/>
      <c r="F144" s="30"/>
      <c r="G144" s="30"/>
      <c r="H144" s="30"/>
      <c r="I144" s="30"/>
    </row>
    <row r="145" customFormat="false" ht="15" hidden="false" customHeight="false" outlineLevel="0" collapsed="false">
      <c r="A145" s="29"/>
      <c r="B145" s="30"/>
      <c r="C145" s="30"/>
      <c r="D145" s="30"/>
      <c r="E145" s="30"/>
      <c r="F145" s="30"/>
      <c r="G145" s="30"/>
      <c r="H145" s="30"/>
      <c r="I145" s="30"/>
    </row>
    <row r="146" customFormat="false" ht="15" hidden="false" customHeight="false" outlineLevel="0" collapsed="false">
      <c r="A146" s="29"/>
      <c r="B146" s="30"/>
      <c r="C146" s="30"/>
      <c r="D146" s="30"/>
      <c r="E146" s="30"/>
      <c r="F146" s="30"/>
      <c r="G146" s="30"/>
      <c r="H146" s="30"/>
      <c r="I146" s="30"/>
    </row>
    <row r="147" customFormat="false" ht="15" hidden="false" customHeight="false" outlineLevel="0" collapsed="false">
      <c r="A147" s="29"/>
      <c r="B147" s="30"/>
      <c r="C147" s="30"/>
      <c r="D147" s="30"/>
      <c r="E147" s="30"/>
      <c r="F147" s="30"/>
      <c r="G147" s="30"/>
      <c r="H147" s="30"/>
      <c r="I147" s="30"/>
    </row>
    <row r="148" customFormat="false" ht="15" hidden="false" customHeight="false" outlineLevel="0" collapsed="false">
      <c r="A148" s="29"/>
      <c r="B148" s="30"/>
      <c r="C148" s="30"/>
      <c r="D148" s="30"/>
      <c r="E148" s="30"/>
      <c r="F148" s="30"/>
      <c r="G148" s="30"/>
      <c r="H148" s="30"/>
      <c r="I148" s="30"/>
    </row>
    <row r="149" customFormat="false" ht="15" hidden="false" customHeight="false" outlineLevel="0" collapsed="false">
      <c r="A149" s="29"/>
      <c r="B149" s="30"/>
      <c r="C149" s="30"/>
      <c r="D149" s="30"/>
      <c r="E149" s="30"/>
      <c r="F149" s="30"/>
      <c r="G149" s="30"/>
      <c r="H149" s="30"/>
      <c r="I149" s="30"/>
    </row>
    <row r="150" customFormat="false" ht="15" hidden="false" customHeight="false" outlineLevel="0" collapsed="false">
      <c r="A150" s="29"/>
      <c r="B150" s="30"/>
      <c r="C150" s="30"/>
      <c r="D150" s="30"/>
      <c r="E150" s="30"/>
      <c r="F150" s="30"/>
      <c r="G150" s="30"/>
      <c r="H150" s="30"/>
      <c r="I150" s="30"/>
    </row>
    <row r="151" customFormat="false" ht="15" hidden="false" customHeight="false" outlineLevel="0" collapsed="false">
      <c r="A151" s="29"/>
      <c r="B151" s="30"/>
      <c r="C151" s="30"/>
      <c r="D151" s="30"/>
      <c r="E151" s="30"/>
      <c r="F151" s="30"/>
      <c r="G151" s="30"/>
      <c r="H151" s="30"/>
      <c r="I151" s="30"/>
    </row>
    <row r="152" customFormat="false" ht="15" hidden="false" customHeight="false" outlineLevel="0" collapsed="false">
      <c r="A152" s="29"/>
      <c r="B152" s="30"/>
      <c r="C152" s="30"/>
      <c r="D152" s="30"/>
      <c r="E152" s="30"/>
      <c r="F152" s="30"/>
      <c r="G152" s="30"/>
      <c r="H152" s="30"/>
      <c r="I152" s="30"/>
    </row>
    <row r="153" customFormat="false" ht="15" hidden="false" customHeight="false" outlineLevel="0" collapsed="false">
      <c r="A153" s="29"/>
      <c r="B153" s="30"/>
      <c r="C153" s="30"/>
      <c r="D153" s="30"/>
      <c r="E153" s="30"/>
      <c r="F153" s="30"/>
      <c r="G153" s="30"/>
      <c r="H153" s="30"/>
      <c r="I153" s="30"/>
    </row>
    <row r="154" customFormat="false" ht="15" hidden="false" customHeight="false" outlineLevel="0" collapsed="false">
      <c r="A154" s="29"/>
      <c r="B154" s="30"/>
      <c r="C154" s="30"/>
      <c r="D154" s="30"/>
      <c r="E154" s="30"/>
      <c r="F154" s="30"/>
      <c r="G154" s="30"/>
      <c r="H154" s="30"/>
      <c r="I154" s="30"/>
    </row>
    <row r="155" customFormat="false" ht="15" hidden="false" customHeight="false" outlineLevel="0" collapsed="false">
      <c r="A155" s="29"/>
      <c r="B155" s="30"/>
      <c r="C155" s="30"/>
      <c r="D155" s="30"/>
      <c r="E155" s="30"/>
      <c r="F155" s="30"/>
      <c r="G155" s="30"/>
      <c r="H155" s="30"/>
      <c r="I155" s="30"/>
    </row>
    <row r="156" customFormat="false" ht="15" hidden="false" customHeight="false" outlineLevel="0" collapsed="false">
      <c r="A156" s="29"/>
      <c r="B156" s="30"/>
      <c r="C156" s="30"/>
      <c r="D156" s="30"/>
      <c r="E156" s="30"/>
      <c r="F156" s="30"/>
      <c r="G156" s="30"/>
      <c r="H156" s="30"/>
      <c r="I156" s="30"/>
    </row>
    <row r="157" customFormat="false" ht="15" hidden="false" customHeight="false" outlineLevel="0" collapsed="false">
      <c r="A157" s="29"/>
      <c r="B157" s="30"/>
      <c r="C157" s="30"/>
      <c r="D157" s="30"/>
      <c r="E157" s="30"/>
      <c r="F157" s="30"/>
      <c r="G157" s="30"/>
      <c r="H157" s="30"/>
      <c r="I157" s="30"/>
    </row>
    <row r="158" customFormat="false" ht="15" hidden="false" customHeight="false" outlineLevel="0" collapsed="false">
      <c r="A158" s="29"/>
      <c r="B158" s="30"/>
      <c r="C158" s="30"/>
      <c r="D158" s="30"/>
      <c r="E158" s="30"/>
      <c r="F158" s="30"/>
      <c r="G158" s="30"/>
      <c r="H158" s="30"/>
      <c r="I158" s="30"/>
    </row>
    <row r="159" customFormat="false" ht="15" hidden="false" customHeight="false" outlineLevel="0" collapsed="false">
      <c r="A159" s="29"/>
      <c r="B159" s="30"/>
      <c r="C159" s="30"/>
      <c r="D159" s="30"/>
      <c r="E159" s="30"/>
      <c r="F159" s="30"/>
      <c r="G159" s="30"/>
      <c r="H159" s="30"/>
      <c r="I159" s="30"/>
    </row>
    <row r="160" customFormat="false" ht="15" hidden="false" customHeight="false" outlineLevel="0" collapsed="false">
      <c r="A160" s="29"/>
      <c r="B160" s="30"/>
      <c r="C160" s="30"/>
      <c r="D160" s="30"/>
      <c r="E160" s="30"/>
      <c r="F160" s="30"/>
      <c r="G160" s="30"/>
      <c r="H160" s="30"/>
      <c r="I160" s="30"/>
    </row>
    <row r="161" customFormat="false" ht="15" hidden="false" customHeight="false" outlineLevel="0" collapsed="false">
      <c r="A161" s="29"/>
      <c r="B161" s="30"/>
      <c r="C161" s="30"/>
      <c r="D161" s="30"/>
      <c r="E161" s="30"/>
      <c r="F161" s="30"/>
      <c r="G161" s="30"/>
      <c r="H161" s="30"/>
      <c r="I161" s="30"/>
    </row>
    <row r="162" customFormat="false" ht="15" hidden="false" customHeight="false" outlineLevel="0" collapsed="false">
      <c r="A162" s="29"/>
      <c r="B162" s="30"/>
      <c r="C162" s="30"/>
      <c r="D162" s="30"/>
      <c r="E162" s="30"/>
      <c r="F162" s="30"/>
      <c r="G162" s="30"/>
      <c r="H162" s="30"/>
      <c r="I162" s="30"/>
    </row>
    <row r="163" customFormat="false" ht="15" hidden="false" customHeight="false" outlineLevel="0" collapsed="false">
      <c r="A163" s="29"/>
      <c r="B163" s="30"/>
      <c r="C163" s="30"/>
      <c r="D163" s="30"/>
      <c r="E163" s="30"/>
      <c r="F163" s="30"/>
      <c r="G163" s="30"/>
      <c r="H163" s="30"/>
      <c r="I163" s="30"/>
    </row>
    <row r="164" customFormat="false" ht="15" hidden="false" customHeight="false" outlineLevel="0" collapsed="false">
      <c r="A164" s="29"/>
      <c r="B164" s="30"/>
      <c r="C164" s="30"/>
      <c r="D164" s="30"/>
      <c r="E164" s="30"/>
      <c r="F164" s="30"/>
      <c r="G164" s="30"/>
      <c r="H164" s="30"/>
      <c r="I164" s="30"/>
    </row>
    <row r="165" customFormat="false" ht="15" hidden="false" customHeight="false" outlineLevel="0" collapsed="false">
      <c r="A165" s="29"/>
      <c r="B165" s="30"/>
      <c r="C165" s="30"/>
      <c r="D165" s="30"/>
      <c r="E165" s="30"/>
      <c r="F165" s="30"/>
      <c r="G165" s="30"/>
      <c r="H165" s="30"/>
      <c r="I165" s="30"/>
    </row>
    <row r="166" customFormat="false" ht="15" hidden="false" customHeight="false" outlineLevel="0" collapsed="false">
      <c r="A166" s="29"/>
      <c r="B166" s="30"/>
      <c r="C166" s="30"/>
      <c r="D166" s="30"/>
      <c r="E166" s="30"/>
      <c r="F166" s="30"/>
      <c r="G166" s="30"/>
      <c r="H166" s="30"/>
      <c r="I166" s="30"/>
    </row>
    <row r="167" customFormat="false" ht="15" hidden="false" customHeight="false" outlineLevel="0" collapsed="false">
      <c r="A167" s="29"/>
      <c r="B167" s="30"/>
      <c r="C167" s="30"/>
      <c r="D167" s="30"/>
      <c r="E167" s="30"/>
      <c r="F167" s="30"/>
      <c r="G167" s="30"/>
      <c r="H167" s="30"/>
      <c r="I167" s="30"/>
    </row>
    <row r="168" customFormat="false" ht="15" hidden="false" customHeight="false" outlineLevel="0" collapsed="false">
      <c r="A168" s="29"/>
      <c r="B168" s="30"/>
      <c r="C168" s="30"/>
      <c r="D168" s="30"/>
      <c r="E168" s="30"/>
      <c r="F168" s="30"/>
      <c r="G168" s="30"/>
      <c r="H168" s="30"/>
      <c r="I168" s="30"/>
    </row>
    <row r="169" customFormat="false" ht="15" hidden="false" customHeight="false" outlineLevel="0" collapsed="false">
      <c r="A169" s="29"/>
      <c r="B169" s="30"/>
      <c r="C169" s="30"/>
      <c r="D169" s="30"/>
      <c r="E169" s="30"/>
      <c r="F169" s="30"/>
      <c r="G169" s="30"/>
      <c r="H169" s="30"/>
      <c r="I169" s="30"/>
    </row>
    <row r="170" customFormat="false" ht="15" hidden="false" customHeight="false" outlineLevel="0" collapsed="false">
      <c r="A170" s="29"/>
      <c r="B170" s="30"/>
      <c r="C170" s="30"/>
      <c r="D170" s="30"/>
      <c r="E170" s="30"/>
      <c r="F170" s="30"/>
      <c r="G170" s="30"/>
      <c r="H170" s="30"/>
      <c r="I170" s="30"/>
    </row>
    <row r="171" customFormat="false" ht="15" hidden="false" customHeight="false" outlineLevel="0" collapsed="false">
      <c r="A171" s="29"/>
      <c r="B171" s="30"/>
      <c r="C171" s="30"/>
      <c r="D171" s="30"/>
      <c r="E171" s="30"/>
      <c r="F171" s="30"/>
      <c r="G171" s="30"/>
      <c r="H171" s="30"/>
      <c r="I171" s="30"/>
    </row>
    <row r="172" customFormat="false" ht="15" hidden="false" customHeight="false" outlineLevel="0" collapsed="false">
      <c r="A172" s="29"/>
      <c r="B172" s="30"/>
      <c r="C172" s="30"/>
      <c r="D172" s="30"/>
      <c r="E172" s="30"/>
      <c r="F172" s="30"/>
      <c r="G172" s="30"/>
      <c r="H172" s="30"/>
      <c r="I172" s="30"/>
    </row>
    <row r="173" customFormat="false" ht="15" hidden="false" customHeight="false" outlineLevel="0" collapsed="false">
      <c r="A173" s="29"/>
      <c r="B173" s="30"/>
      <c r="C173" s="30"/>
      <c r="D173" s="30"/>
      <c r="E173" s="30"/>
      <c r="F173" s="30"/>
      <c r="G173" s="30"/>
      <c r="H173" s="30"/>
      <c r="I173" s="30"/>
    </row>
    <row r="174" customFormat="false" ht="15" hidden="false" customHeight="false" outlineLevel="0" collapsed="false">
      <c r="A174" s="29"/>
      <c r="B174" s="30"/>
      <c r="C174" s="30"/>
      <c r="D174" s="30"/>
      <c r="E174" s="30"/>
      <c r="F174" s="30"/>
      <c r="G174" s="30"/>
      <c r="H174" s="30"/>
      <c r="I174" s="30"/>
    </row>
    <row r="175" customFormat="false" ht="15" hidden="false" customHeight="false" outlineLevel="0" collapsed="false">
      <c r="A175" s="29"/>
      <c r="B175" s="30"/>
      <c r="C175" s="30"/>
      <c r="D175" s="30"/>
      <c r="E175" s="30"/>
      <c r="F175" s="30"/>
      <c r="G175" s="30"/>
      <c r="H175" s="30"/>
      <c r="I175" s="30"/>
    </row>
    <row r="176" customFormat="false" ht="15" hidden="false" customHeight="false" outlineLevel="0" collapsed="false">
      <c r="A176" s="29"/>
      <c r="B176" s="30"/>
      <c r="C176" s="30"/>
      <c r="D176" s="30"/>
      <c r="E176" s="30"/>
      <c r="F176" s="30"/>
      <c r="G176" s="30"/>
      <c r="H176" s="30"/>
      <c r="I176" s="30"/>
    </row>
    <row r="177" customFormat="false" ht="15" hidden="false" customHeight="false" outlineLevel="0" collapsed="false">
      <c r="A177" s="29"/>
      <c r="B177" s="30"/>
      <c r="C177" s="30"/>
      <c r="D177" s="30"/>
      <c r="E177" s="30"/>
      <c r="F177" s="30"/>
      <c r="G177" s="30"/>
      <c r="H177" s="30"/>
      <c r="I177" s="30"/>
    </row>
    <row r="178" customFormat="false" ht="15" hidden="false" customHeight="false" outlineLevel="0" collapsed="false">
      <c r="A178" s="29"/>
      <c r="B178" s="30"/>
      <c r="C178" s="30"/>
      <c r="D178" s="30"/>
      <c r="E178" s="30"/>
      <c r="F178" s="30"/>
      <c r="G178" s="30"/>
      <c r="H178" s="30"/>
      <c r="I178" s="30"/>
    </row>
    <row r="179" customFormat="false" ht="15" hidden="false" customHeight="false" outlineLevel="0" collapsed="false">
      <c r="A179" s="29"/>
      <c r="B179" s="30"/>
      <c r="C179" s="30"/>
      <c r="D179" s="30"/>
      <c r="E179" s="30"/>
      <c r="F179" s="30"/>
      <c r="G179" s="30"/>
      <c r="H179" s="30"/>
      <c r="I179" s="30"/>
    </row>
    <row r="180" customFormat="false" ht="15" hidden="false" customHeight="false" outlineLevel="0" collapsed="false">
      <c r="A180" s="29"/>
      <c r="B180" s="30"/>
      <c r="C180" s="30"/>
      <c r="D180" s="30"/>
      <c r="E180" s="30"/>
      <c r="F180" s="30"/>
      <c r="G180" s="30"/>
      <c r="H180" s="30"/>
      <c r="I180" s="30"/>
    </row>
    <row r="181" customFormat="false" ht="15" hidden="false" customHeight="false" outlineLevel="0" collapsed="false">
      <c r="A181" s="29"/>
      <c r="B181" s="30"/>
      <c r="C181" s="30"/>
      <c r="D181" s="30"/>
      <c r="E181" s="30"/>
      <c r="F181" s="30"/>
      <c r="G181" s="30"/>
      <c r="H181" s="30"/>
      <c r="I181" s="30"/>
    </row>
    <row r="182" customFormat="false" ht="15" hidden="false" customHeight="false" outlineLevel="0" collapsed="false">
      <c r="A182" s="29"/>
      <c r="B182" s="30"/>
      <c r="C182" s="30"/>
      <c r="D182" s="30"/>
      <c r="E182" s="30"/>
      <c r="F182" s="30"/>
      <c r="G182" s="30"/>
      <c r="H182" s="30"/>
      <c r="I182" s="30"/>
    </row>
    <row r="183" customFormat="false" ht="15" hidden="false" customHeight="false" outlineLevel="0" collapsed="false">
      <c r="A183" s="29"/>
      <c r="B183" s="30"/>
      <c r="C183" s="30"/>
      <c r="D183" s="30"/>
      <c r="E183" s="30"/>
      <c r="F183" s="30"/>
      <c r="G183" s="30"/>
      <c r="H183" s="30"/>
      <c r="I183" s="30"/>
    </row>
    <row r="184" customFormat="false" ht="15" hidden="false" customHeight="false" outlineLevel="0" collapsed="false">
      <c r="A184" s="29"/>
      <c r="B184" s="30"/>
      <c r="C184" s="30"/>
      <c r="D184" s="30"/>
      <c r="E184" s="30"/>
      <c r="F184" s="30"/>
      <c r="G184" s="30"/>
      <c r="H184" s="30"/>
      <c r="I184" s="30"/>
    </row>
    <row r="185" customFormat="false" ht="15" hidden="false" customHeight="false" outlineLevel="0" collapsed="false">
      <c r="A185" s="29"/>
      <c r="B185" s="30"/>
      <c r="C185" s="30"/>
      <c r="D185" s="30"/>
      <c r="E185" s="30"/>
      <c r="F185" s="30"/>
      <c r="G185" s="30"/>
      <c r="H185" s="30"/>
      <c r="I185" s="30"/>
    </row>
    <row r="186" customFormat="false" ht="15" hidden="false" customHeight="false" outlineLevel="0" collapsed="false">
      <c r="A186" s="29"/>
      <c r="B186" s="30"/>
      <c r="C186" s="30"/>
      <c r="D186" s="30"/>
      <c r="E186" s="30"/>
      <c r="F186" s="30"/>
      <c r="G186" s="30"/>
      <c r="H186" s="30"/>
      <c r="I186" s="30"/>
    </row>
    <row r="187" customFormat="false" ht="15" hidden="false" customHeight="false" outlineLevel="0" collapsed="false">
      <c r="A187" s="29"/>
      <c r="B187" s="30"/>
      <c r="C187" s="30"/>
      <c r="D187" s="30"/>
      <c r="E187" s="30"/>
      <c r="F187" s="30"/>
      <c r="G187" s="30"/>
      <c r="H187" s="30"/>
      <c r="I187" s="30"/>
    </row>
    <row r="188" customFormat="false" ht="15" hidden="false" customHeight="false" outlineLevel="0" collapsed="false">
      <c r="A188" s="29"/>
      <c r="B188" s="30"/>
      <c r="C188" s="30"/>
      <c r="D188" s="30"/>
      <c r="E188" s="30"/>
      <c r="F188" s="30"/>
      <c r="G188" s="30"/>
      <c r="H188" s="30"/>
      <c r="I188" s="30"/>
    </row>
    <row r="189" customFormat="false" ht="15" hidden="false" customHeight="false" outlineLevel="0" collapsed="false">
      <c r="A189" s="29"/>
      <c r="B189" s="30"/>
      <c r="C189" s="30"/>
      <c r="D189" s="30"/>
      <c r="E189" s="30"/>
      <c r="F189" s="30"/>
      <c r="G189" s="30"/>
      <c r="H189" s="30"/>
      <c r="I189" s="30"/>
    </row>
    <row r="190" customFormat="false" ht="15" hidden="false" customHeight="false" outlineLevel="0" collapsed="false">
      <c r="A190" s="29"/>
      <c r="B190" s="30"/>
      <c r="C190" s="30"/>
      <c r="D190" s="30"/>
      <c r="E190" s="30"/>
      <c r="F190" s="30"/>
      <c r="G190" s="30"/>
      <c r="H190" s="30"/>
      <c r="I190" s="30"/>
    </row>
    <row r="191" customFormat="false" ht="15" hidden="false" customHeight="false" outlineLevel="0" collapsed="false">
      <c r="A191" s="29"/>
      <c r="B191" s="30"/>
      <c r="C191" s="30"/>
      <c r="D191" s="30"/>
      <c r="E191" s="30"/>
      <c r="F191" s="30"/>
      <c r="G191" s="30"/>
      <c r="H191" s="30"/>
      <c r="I191" s="30"/>
    </row>
    <row r="192" customFormat="false" ht="15" hidden="false" customHeight="false" outlineLevel="0" collapsed="false">
      <c r="A192" s="29"/>
      <c r="B192" s="30"/>
      <c r="C192" s="30"/>
      <c r="D192" s="30"/>
      <c r="E192" s="30"/>
      <c r="F192" s="30"/>
      <c r="G192" s="30"/>
      <c r="H192" s="30"/>
      <c r="I192" s="30"/>
    </row>
    <row r="193" customFormat="false" ht="15" hidden="false" customHeight="false" outlineLevel="0" collapsed="false">
      <c r="A193" s="29"/>
      <c r="B193" s="30"/>
      <c r="C193" s="30"/>
      <c r="D193" s="30"/>
      <c r="E193" s="30"/>
      <c r="F193" s="30"/>
      <c r="G193" s="30"/>
      <c r="H193" s="30"/>
      <c r="I193" s="30"/>
    </row>
    <row r="194" customFormat="false" ht="15" hidden="false" customHeight="false" outlineLevel="0" collapsed="false">
      <c r="A194" s="29"/>
      <c r="B194" s="30"/>
      <c r="C194" s="30"/>
      <c r="D194" s="30"/>
      <c r="E194" s="30"/>
      <c r="F194" s="30"/>
      <c r="G194" s="30"/>
      <c r="H194" s="30"/>
      <c r="I194" s="30"/>
    </row>
    <row r="195" customFormat="false" ht="15" hidden="false" customHeight="false" outlineLevel="0" collapsed="false">
      <c r="A195" s="29"/>
      <c r="B195" s="30"/>
      <c r="C195" s="30"/>
      <c r="D195" s="30"/>
      <c r="E195" s="30"/>
      <c r="F195" s="30"/>
      <c r="G195" s="30"/>
      <c r="H195" s="30"/>
      <c r="I195" s="30"/>
    </row>
    <row r="196" customFormat="false" ht="15" hidden="false" customHeight="false" outlineLevel="0" collapsed="false">
      <c r="A196" s="29"/>
      <c r="B196" s="30"/>
      <c r="C196" s="30"/>
      <c r="D196" s="30"/>
      <c r="E196" s="30"/>
      <c r="F196" s="30"/>
      <c r="G196" s="30"/>
      <c r="H196" s="30"/>
      <c r="I196" s="30"/>
    </row>
    <row r="197" customFormat="false" ht="15" hidden="false" customHeight="false" outlineLevel="0" collapsed="false">
      <c r="A197" s="29"/>
      <c r="B197" s="30"/>
      <c r="C197" s="30"/>
      <c r="D197" s="30"/>
      <c r="E197" s="30"/>
      <c r="F197" s="30"/>
      <c r="G197" s="30"/>
      <c r="H197" s="30"/>
      <c r="I197" s="30"/>
    </row>
    <row r="198" customFormat="false" ht="15" hidden="false" customHeight="false" outlineLevel="0" collapsed="false">
      <c r="A198" s="29"/>
      <c r="B198" s="30"/>
      <c r="C198" s="30"/>
      <c r="D198" s="30"/>
      <c r="E198" s="30"/>
      <c r="F198" s="30"/>
      <c r="G198" s="30"/>
      <c r="H198" s="30"/>
      <c r="I198" s="30"/>
    </row>
    <row r="199" customFormat="false" ht="15" hidden="false" customHeight="false" outlineLevel="0" collapsed="false">
      <c r="A199" s="29"/>
      <c r="B199" s="30"/>
      <c r="C199" s="30"/>
      <c r="D199" s="30"/>
      <c r="E199" s="30"/>
      <c r="F199" s="30"/>
      <c r="G199" s="30"/>
      <c r="H199" s="30"/>
      <c r="I199" s="30"/>
    </row>
    <row r="200" customFormat="false" ht="15" hidden="false" customHeight="false" outlineLevel="0" collapsed="false">
      <c r="A200" s="29"/>
      <c r="B200" s="30"/>
      <c r="C200" s="30"/>
      <c r="D200" s="30"/>
      <c r="E200" s="30"/>
      <c r="F200" s="30"/>
      <c r="G200" s="30"/>
      <c r="H200" s="30"/>
      <c r="I200" s="30"/>
    </row>
    <row r="201" customFormat="false" ht="15" hidden="false" customHeight="false" outlineLevel="0" collapsed="false">
      <c r="A201" s="29"/>
      <c r="B201" s="30"/>
      <c r="C201" s="30"/>
      <c r="D201" s="30"/>
      <c r="E201" s="30"/>
      <c r="F201" s="30"/>
      <c r="G201" s="30"/>
      <c r="H201" s="30"/>
      <c r="I201" s="30"/>
    </row>
    <row r="202" customFormat="false" ht="15" hidden="false" customHeight="false" outlineLevel="0" collapsed="false">
      <c r="A202" s="29"/>
      <c r="B202" s="30"/>
      <c r="C202" s="30"/>
      <c r="D202" s="30"/>
      <c r="E202" s="30"/>
      <c r="F202" s="30"/>
      <c r="G202" s="30"/>
      <c r="H202" s="30"/>
      <c r="I202" s="30"/>
    </row>
    <row r="203" customFormat="false" ht="15" hidden="false" customHeight="false" outlineLevel="0" collapsed="false">
      <c r="A203" s="29"/>
      <c r="B203" s="30"/>
      <c r="C203" s="30"/>
      <c r="D203" s="30"/>
      <c r="E203" s="30"/>
      <c r="F203" s="30"/>
      <c r="G203" s="30"/>
      <c r="H203" s="30"/>
      <c r="I203" s="30"/>
    </row>
    <row r="204" customFormat="false" ht="15" hidden="false" customHeight="false" outlineLevel="0" collapsed="false">
      <c r="A204" s="29"/>
      <c r="B204" s="30"/>
      <c r="C204" s="30"/>
      <c r="D204" s="30"/>
      <c r="E204" s="30"/>
      <c r="F204" s="30"/>
      <c r="G204" s="30"/>
      <c r="H204" s="30"/>
      <c r="I204" s="30"/>
    </row>
    <row r="205" customFormat="false" ht="15" hidden="false" customHeight="false" outlineLevel="0" collapsed="false">
      <c r="A205" s="29"/>
      <c r="B205" s="30"/>
      <c r="C205" s="30"/>
      <c r="D205" s="30"/>
      <c r="E205" s="30"/>
      <c r="F205" s="30"/>
      <c r="G205" s="30"/>
      <c r="H205" s="30"/>
      <c r="I205" s="30"/>
    </row>
    <row r="207" customFormat="false" ht="15" hidden="false" customHeight="false" outlineLevel="0" collapsed="false">
      <c r="A207" s="2" t="s">
        <v>487</v>
      </c>
    </row>
    <row r="208" customFormat="false" ht="15" hidden="false" customHeight="false" outlineLevel="0" collapsed="false">
      <c r="A208" s="31" t="s">
        <v>488</v>
      </c>
      <c r="B208" s="32" t="n">
        <f aca="false">COUNTA(B6:B205)</f>
        <v>0</v>
      </c>
    </row>
    <row r="209" customFormat="false" ht="15" hidden="false" customHeight="false" outlineLevel="0" collapsed="false">
      <c r="A209" s="31" t="s">
        <v>489</v>
      </c>
      <c r="B209" s="32" t="n">
        <f aca="false">COUNTIF(E6:E205,"ja")</f>
        <v>0</v>
      </c>
    </row>
    <row r="210" customFormat="false" ht="15" hidden="false" customHeight="false" outlineLevel="0" collapsed="false">
      <c r="A210" s="31" t="s">
        <v>490</v>
      </c>
      <c r="B210" s="33" t="n">
        <f aca="false">IF(B208=0,0,B209/B208)</f>
        <v>0</v>
      </c>
    </row>
  </sheetData>
  <mergeCells count="1">
    <mergeCell ref="A2:I2"/>
  </mergeCells>
  <dataValidations count="2">
    <dataValidation allowBlank="true" errorStyle="stop" operator="between" showDropDown="false" showErrorMessage="false" showInputMessage="false" sqref="E5:E205" type="list">
      <formula1>"ja,nee"</formula1>
      <formula2>0</formula2>
    </dataValidation>
    <dataValidation allowBlank="true" errorStyle="stop" operator="between" showDropDown="false" showErrorMessage="false" showInputMessage="false" sqref="D5:D205" type="list">
      <formula1>"ChatGPT,Perplexity,Gemini,AI Overviews,Copilot,Claude"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20"/>
  </cols>
  <sheetData>
    <row r="1" customFormat="false" ht="17.35" hidden="false" customHeight="false" outlineLevel="0" collapsed="false">
      <c r="A1" s="1" t="s">
        <v>491</v>
      </c>
    </row>
    <row r="2" customFormat="false" ht="30" hidden="false" customHeight="true" outlineLevel="0" collapsed="false">
      <c r="A2" s="4" t="s">
        <v>492</v>
      </c>
      <c r="B2" s="4"/>
      <c r="C2" s="4"/>
    </row>
    <row r="4" customFormat="false" ht="15" hidden="false" customHeight="false" outlineLevel="0" collapsed="false">
      <c r="A4" s="5" t="s">
        <v>198</v>
      </c>
      <c r="B4" s="5" t="s">
        <v>493</v>
      </c>
      <c r="C4" s="5" t="s">
        <v>494</v>
      </c>
    </row>
    <row r="5" customFormat="false" ht="15" hidden="false" customHeight="false" outlineLevel="0" collapsed="false">
      <c r="A5" s="10" t="n">
        <v>1</v>
      </c>
      <c r="B5" s="10" t="s">
        <v>495</v>
      </c>
      <c r="C5" s="10" t="s">
        <v>496</v>
      </c>
    </row>
    <row r="6" customFormat="false" ht="15" hidden="false" customHeight="false" outlineLevel="0" collapsed="false">
      <c r="A6" s="10" t="n">
        <v>2</v>
      </c>
      <c r="B6" s="10" t="s">
        <v>497</v>
      </c>
      <c r="C6" s="10" t="s">
        <v>498</v>
      </c>
    </row>
    <row r="7" customFormat="false" ht="23.85" hidden="false" customHeight="false" outlineLevel="0" collapsed="false">
      <c r="A7" s="10" t="n">
        <v>3</v>
      </c>
      <c r="B7" s="10" t="s">
        <v>499</v>
      </c>
      <c r="C7" s="10" t="s">
        <v>500</v>
      </c>
    </row>
    <row r="8" customFormat="false" ht="15" hidden="false" customHeight="false" outlineLevel="0" collapsed="false">
      <c r="A8" s="10" t="n">
        <v>4</v>
      </c>
      <c r="B8" s="10" t="s">
        <v>501</v>
      </c>
      <c r="C8" s="10" t="s">
        <v>502</v>
      </c>
    </row>
    <row r="9" customFormat="false" ht="15" hidden="false" customHeight="false" outlineLevel="0" collapsed="false">
      <c r="A9" s="10" t="n">
        <v>5</v>
      </c>
      <c r="B9" s="10" t="s">
        <v>503</v>
      </c>
      <c r="C9" s="10" t="s">
        <v>504</v>
      </c>
    </row>
    <row r="10" customFormat="false" ht="15" hidden="false" customHeight="false" outlineLevel="0" collapsed="false">
      <c r="A10" s="10" t="n">
        <v>6</v>
      </c>
      <c r="B10" s="10" t="s">
        <v>503</v>
      </c>
      <c r="C10" s="10" t="s">
        <v>505</v>
      </c>
    </row>
    <row r="11" customFormat="false" ht="15" hidden="false" customHeight="false" outlineLevel="0" collapsed="false">
      <c r="A11" s="10" t="n">
        <v>7</v>
      </c>
      <c r="B11" s="10" t="s">
        <v>506</v>
      </c>
      <c r="C11" s="10" t="s">
        <v>507</v>
      </c>
    </row>
    <row r="12" customFormat="false" ht="15" hidden="false" customHeight="false" outlineLevel="0" collapsed="false">
      <c r="A12" s="10" t="n">
        <v>8</v>
      </c>
      <c r="B12" s="10" t="s">
        <v>508</v>
      </c>
      <c r="C12" s="10" t="s">
        <v>509</v>
      </c>
    </row>
    <row r="13" customFormat="false" ht="15" hidden="false" customHeight="false" outlineLevel="0" collapsed="false">
      <c r="A13" s="10" t="n">
        <v>9</v>
      </c>
      <c r="B13" s="10" t="s">
        <v>510</v>
      </c>
      <c r="C13" s="10" t="s">
        <v>511</v>
      </c>
    </row>
    <row r="14" customFormat="false" ht="15" hidden="false" customHeight="false" outlineLevel="0" collapsed="false">
      <c r="A14" s="10" t="n">
        <v>10</v>
      </c>
      <c r="B14" s="10" t="s">
        <v>512</v>
      </c>
      <c r="C14" s="10" t="s">
        <v>513</v>
      </c>
    </row>
    <row r="15" customFormat="false" ht="15" hidden="false" customHeight="false" outlineLevel="0" collapsed="false">
      <c r="A15" s="10" t="n">
        <v>11</v>
      </c>
      <c r="B15" s="10" t="s">
        <v>514</v>
      </c>
      <c r="C15" s="10" t="s">
        <v>515</v>
      </c>
    </row>
    <row r="16" customFormat="false" ht="15" hidden="false" customHeight="false" outlineLevel="0" collapsed="false">
      <c r="A16" s="10" t="n">
        <v>12</v>
      </c>
      <c r="B16" s="10" t="s">
        <v>516</v>
      </c>
      <c r="C16" s="10" t="s">
        <v>517</v>
      </c>
    </row>
    <row r="17" customFormat="false" ht="15" hidden="false" customHeight="false" outlineLevel="0" collapsed="false">
      <c r="A17" s="10" t="n">
        <v>13</v>
      </c>
      <c r="B17" s="10" t="s">
        <v>518</v>
      </c>
      <c r="C17" s="10" t="s">
        <v>519</v>
      </c>
    </row>
    <row r="18" customFormat="false" ht="15" hidden="false" customHeight="false" outlineLevel="0" collapsed="false">
      <c r="A18" s="10" t="n">
        <v>14</v>
      </c>
      <c r="B18" s="10" t="s">
        <v>520</v>
      </c>
      <c r="C18" s="10" t="s">
        <v>521</v>
      </c>
    </row>
    <row r="19" customFormat="false" ht="15" hidden="false" customHeight="false" outlineLevel="0" collapsed="false">
      <c r="A19" s="10" t="n">
        <v>15</v>
      </c>
      <c r="B19" s="10" t="s">
        <v>522</v>
      </c>
      <c r="C19" s="10" t="s">
        <v>523</v>
      </c>
    </row>
    <row r="20" customFormat="false" ht="15" hidden="false" customHeight="false" outlineLevel="0" collapsed="false">
      <c r="A20" s="10" t="n">
        <v>16</v>
      </c>
      <c r="B20" s="10" t="s">
        <v>524</v>
      </c>
      <c r="C20" s="10" t="s">
        <v>525</v>
      </c>
    </row>
    <row r="21" customFormat="false" ht="15" hidden="false" customHeight="false" outlineLevel="0" collapsed="false">
      <c r="A21" s="10" t="n">
        <v>17</v>
      </c>
      <c r="B21" s="10" t="s">
        <v>526</v>
      </c>
      <c r="C21" s="10" t="s">
        <v>527</v>
      </c>
    </row>
    <row r="22" customFormat="false" ht="15" hidden="false" customHeight="false" outlineLevel="0" collapsed="false">
      <c r="A22" s="10" t="n">
        <v>18</v>
      </c>
      <c r="B22" s="10" t="s">
        <v>528</v>
      </c>
      <c r="C22" s="10" t="s">
        <v>529</v>
      </c>
    </row>
    <row r="23" customFormat="false" ht="15" hidden="false" customHeight="false" outlineLevel="0" collapsed="false">
      <c r="A23" s="10" t="n">
        <v>19</v>
      </c>
      <c r="B23" s="10" t="s">
        <v>530</v>
      </c>
      <c r="C23" s="10" t="s">
        <v>531</v>
      </c>
    </row>
    <row r="24" customFormat="false" ht="15" hidden="false" customHeight="false" outlineLevel="0" collapsed="false">
      <c r="A24" s="10" t="n">
        <v>20</v>
      </c>
      <c r="B24" s="10" t="s">
        <v>530</v>
      </c>
      <c r="C24" s="10" t="s">
        <v>532</v>
      </c>
    </row>
    <row r="25" customFormat="false" ht="15" hidden="false" customHeight="false" outlineLevel="0" collapsed="false">
      <c r="A25" s="10" t="n">
        <v>21</v>
      </c>
      <c r="B25" s="10" t="s">
        <v>495</v>
      </c>
      <c r="C25" s="10" t="s">
        <v>533</v>
      </c>
    </row>
    <row r="26" customFormat="false" ht="15" hidden="false" customHeight="false" outlineLevel="0" collapsed="false">
      <c r="A26" s="10" t="n">
        <v>22</v>
      </c>
      <c r="B26" s="10" t="s">
        <v>495</v>
      </c>
      <c r="C26" s="10" t="s">
        <v>534</v>
      </c>
    </row>
    <row r="27" customFormat="false" ht="15" hidden="false" customHeight="false" outlineLevel="0" collapsed="false">
      <c r="A27" s="10" t="n">
        <v>23</v>
      </c>
      <c r="B27" s="10" t="s">
        <v>535</v>
      </c>
      <c r="C27" s="10" t="s">
        <v>536</v>
      </c>
    </row>
    <row r="28" customFormat="false" ht="15" hidden="false" customHeight="false" outlineLevel="0" collapsed="false">
      <c r="A28" s="10" t="n">
        <v>24</v>
      </c>
      <c r="B28" s="10" t="s">
        <v>537</v>
      </c>
      <c r="C28" s="10" t="s">
        <v>538</v>
      </c>
    </row>
    <row r="29" customFormat="false" ht="23.85" hidden="false" customHeight="false" outlineLevel="0" collapsed="false">
      <c r="A29" s="10" t="n">
        <v>25</v>
      </c>
      <c r="B29" s="10" t="s">
        <v>499</v>
      </c>
      <c r="C29" s="10" t="s">
        <v>539</v>
      </c>
    </row>
    <row r="30" customFormat="false" ht="15" hidden="false" customHeight="false" outlineLevel="0" collapsed="false">
      <c r="A30" s="10" t="n">
        <v>26</v>
      </c>
      <c r="B30" s="10" t="s">
        <v>540</v>
      </c>
      <c r="C30" s="10" t="s">
        <v>541</v>
      </c>
    </row>
    <row r="31" customFormat="false" ht="15" hidden="false" customHeight="false" outlineLevel="0" collapsed="false">
      <c r="A31" s="10" t="n">
        <v>27</v>
      </c>
      <c r="B31" s="10" t="s">
        <v>542</v>
      </c>
      <c r="C31" s="10" t="s">
        <v>543</v>
      </c>
    </row>
    <row r="32" customFormat="false" ht="15" hidden="false" customHeight="false" outlineLevel="0" collapsed="false">
      <c r="A32" s="10" t="n">
        <v>28</v>
      </c>
      <c r="B32" s="10" t="s">
        <v>544</v>
      </c>
      <c r="C32" s="10" t="s">
        <v>545</v>
      </c>
    </row>
    <row r="33" customFormat="false" ht="15" hidden="false" customHeight="false" outlineLevel="0" collapsed="false">
      <c r="A33" s="10" t="n">
        <v>29</v>
      </c>
      <c r="B33" s="10" t="s">
        <v>542</v>
      </c>
      <c r="C33" s="10" t="s">
        <v>546</v>
      </c>
    </row>
    <row r="34" customFormat="false" ht="15" hidden="false" customHeight="false" outlineLevel="0" collapsed="false">
      <c r="A34" s="10" t="n">
        <v>30</v>
      </c>
      <c r="B34" s="10" t="s">
        <v>547</v>
      </c>
      <c r="C34" s="10" t="s">
        <v>548</v>
      </c>
    </row>
    <row r="35" customFormat="false" ht="15" hidden="false" customHeight="false" outlineLevel="0" collapsed="false">
      <c r="A35" s="10" t="n">
        <v>31</v>
      </c>
      <c r="B35" s="10" t="s">
        <v>549</v>
      </c>
      <c r="C35" s="10" t="s">
        <v>550</v>
      </c>
    </row>
    <row r="36" customFormat="false" ht="15" hidden="false" customHeight="false" outlineLevel="0" collapsed="false">
      <c r="A36" s="10" t="n">
        <v>32</v>
      </c>
      <c r="B36" s="10" t="s">
        <v>551</v>
      </c>
      <c r="C36" s="10" t="s">
        <v>552</v>
      </c>
    </row>
    <row r="37" customFormat="false" ht="15" hidden="false" customHeight="false" outlineLevel="0" collapsed="false">
      <c r="A37" s="10" t="n">
        <v>33</v>
      </c>
      <c r="B37" s="10" t="s">
        <v>553</v>
      </c>
      <c r="C37" s="10" t="s">
        <v>554</v>
      </c>
    </row>
    <row r="38" customFormat="false" ht="15" hidden="false" customHeight="false" outlineLevel="0" collapsed="false">
      <c r="A38" s="10" t="n">
        <v>34</v>
      </c>
      <c r="B38" s="10" t="s">
        <v>555</v>
      </c>
      <c r="C38" s="10" t="s">
        <v>556</v>
      </c>
    </row>
    <row r="39" customFormat="false" ht="15" hidden="false" customHeight="false" outlineLevel="0" collapsed="false">
      <c r="A39" s="10" t="n">
        <v>35</v>
      </c>
      <c r="B39" s="10" t="s">
        <v>557</v>
      </c>
      <c r="C39" s="10" t="s">
        <v>558</v>
      </c>
    </row>
    <row r="40" customFormat="false" ht="15" hidden="false" customHeight="false" outlineLevel="0" collapsed="false">
      <c r="A40" s="10" t="n">
        <v>36</v>
      </c>
      <c r="B40" s="10" t="s">
        <v>559</v>
      </c>
      <c r="C40" s="10" t="s">
        <v>560</v>
      </c>
    </row>
    <row r="41" customFormat="false" ht="23.85" hidden="false" customHeight="false" outlineLevel="0" collapsed="false">
      <c r="A41" s="10" t="n">
        <v>37</v>
      </c>
      <c r="B41" s="10" t="s">
        <v>561</v>
      </c>
      <c r="C41" s="10" t="s">
        <v>562</v>
      </c>
    </row>
    <row r="42" customFormat="false" ht="15" hidden="false" customHeight="false" outlineLevel="0" collapsed="false">
      <c r="A42" s="10" t="n">
        <v>38</v>
      </c>
      <c r="B42" s="10" t="s">
        <v>528</v>
      </c>
      <c r="C42" s="10" t="s">
        <v>563</v>
      </c>
    </row>
    <row r="43" customFormat="false" ht="15" hidden="false" customHeight="false" outlineLevel="0" collapsed="false">
      <c r="A43" s="10" t="n">
        <v>39</v>
      </c>
      <c r="B43" s="10" t="s">
        <v>559</v>
      </c>
      <c r="C43" s="10" t="s">
        <v>564</v>
      </c>
    </row>
    <row r="44" customFormat="false" ht="15" hidden="false" customHeight="false" outlineLevel="0" collapsed="false">
      <c r="A44" s="10" t="n">
        <v>40</v>
      </c>
      <c r="B44" s="10" t="s">
        <v>540</v>
      </c>
      <c r="C44" s="10" t="s">
        <v>565</v>
      </c>
    </row>
    <row r="45" customFormat="false" ht="15" hidden="false" customHeight="false" outlineLevel="0" collapsed="false">
      <c r="A45" s="10" t="n">
        <v>41</v>
      </c>
      <c r="B45" s="10" t="s">
        <v>566</v>
      </c>
      <c r="C45" s="10" t="s">
        <v>567</v>
      </c>
    </row>
    <row r="46" customFormat="false" ht="15" hidden="false" customHeight="false" outlineLevel="0" collapsed="false">
      <c r="A46" s="10" t="n">
        <v>42</v>
      </c>
      <c r="B46" s="10" t="s">
        <v>568</v>
      </c>
      <c r="C46" s="10" t="s">
        <v>569</v>
      </c>
    </row>
    <row r="47" customFormat="false" ht="15" hidden="false" customHeight="false" outlineLevel="0" collapsed="false">
      <c r="A47" s="10" t="n">
        <v>43</v>
      </c>
      <c r="B47" s="10" t="s">
        <v>570</v>
      </c>
      <c r="C47" s="10" t="s">
        <v>571</v>
      </c>
    </row>
    <row r="48" customFormat="false" ht="15" hidden="false" customHeight="false" outlineLevel="0" collapsed="false">
      <c r="A48" s="10" t="n">
        <v>44</v>
      </c>
      <c r="B48" s="10" t="s">
        <v>518</v>
      </c>
      <c r="C48" s="10" t="s">
        <v>572</v>
      </c>
    </row>
    <row r="49" customFormat="false" ht="15" hidden="false" customHeight="false" outlineLevel="0" collapsed="false">
      <c r="A49" s="10" t="n">
        <v>45</v>
      </c>
      <c r="B49" s="10" t="s">
        <v>573</v>
      </c>
      <c r="C49" s="10" t="s">
        <v>574</v>
      </c>
    </row>
    <row r="50" customFormat="false" ht="15" hidden="false" customHeight="false" outlineLevel="0" collapsed="false">
      <c r="A50" s="10" t="n">
        <v>46</v>
      </c>
      <c r="B50" s="10" t="s">
        <v>568</v>
      </c>
      <c r="C50" s="10" t="s">
        <v>575</v>
      </c>
    </row>
    <row r="51" customFormat="false" ht="15" hidden="false" customHeight="false" outlineLevel="0" collapsed="false">
      <c r="A51" s="10" t="n">
        <v>47</v>
      </c>
      <c r="B51" s="10" t="s">
        <v>501</v>
      </c>
      <c r="C51" s="10" t="s">
        <v>576</v>
      </c>
    </row>
    <row r="52" customFormat="false" ht="15" hidden="false" customHeight="false" outlineLevel="0" collapsed="false">
      <c r="A52" s="10" t="n">
        <v>48</v>
      </c>
      <c r="B52" s="10" t="s">
        <v>537</v>
      </c>
      <c r="C52" s="10" t="s">
        <v>577</v>
      </c>
    </row>
    <row r="53" customFormat="false" ht="15" hidden="false" customHeight="false" outlineLevel="0" collapsed="false">
      <c r="A53" s="10" t="n">
        <v>49</v>
      </c>
      <c r="B53" s="10" t="s">
        <v>578</v>
      </c>
      <c r="C53" s="10" t="s">
        <v>579</v>
      </c>
    </row>
    <row r="54" customFormat="false" ht="15" hidden="false" customHeight="false" outlineLevel="0" collapsed="false">
      <c r="A54" s="10" t="n">
        <v>50</v>
      </c>
      <c r="B54" s="10" t="s">
        <v>580</v>
      </c>
      <c r="C54" s="10" t="s">
        <v>581</v>
      </c>
    </row>
    <row r="55" customFormat="false" ht="15" hidden="false" customHeight="false" outlineLevel="0" collapsed="false">
      <c r="A55" s="10" t="n">
        <v>51</v>
      </c>
      <c r="B55" s="10" t="s">
        <v>582</v>
      </c>
      <c r="C55" s="10" t="s">
        <v>583</v>
      </c>
    </row>
    <row r="56" customFormat="false" ht="15" hidden="false" customHeight="false" outlineLevel="0" collapsed="false">
      <c r="A56" s="10" t="n">
        <v>52</v>
      </c>
      <c r="B56" s="10" t="s">
        <v>584</v>
      </c>
      <c r="C56" s="10" t="s">
        <v>585</v>
      </c>
    </row>
    <row r="57" customFormat="false" ht="15" hidden="false" customHeight="false" outlineLevel="0" collapsed="false">
      <c r="A57" s="10" t="n">
        <v>53</v>
      </c>
      <c r="B57" s="10" t="s">
        <v>501</v>
      </c>
      <c r="C57" s="10" t="s">
        <v>586</v>
      </c>
    </row>
    <row r="58" customFormat="false" ht="15" hidden="false" customHeight="false" outlineLevel="0" collapsed="false">
      <c r="A58" s="10" t="n">
        <v>54</v>
      </c>
      <c r="B58" s="10" t="s">
        <v>587</v>
      </c>
      <c r="C58" s="10" t="s">
        <v>588</v>
      </c>
    </row>
    <row r="59" customFormat="false" ht="15" hidden="false" customHeight="false" outlineLevel="0" collapsed="false">
      <c r="A59" s="10" t="n">
        <v>55</v>
      </c>
      <c r="B59" s="10" t="s">
        <v>537</v>
      </c>
      <c r="C59" s="10" t="s">
        <v>589</v>
      </c>
    </row>
    <row r="60" customFormat="false" ht="15" hidden="false" customHeight="false" outlineLevel="0" collapsed="false">
      <c r="A60" s="10" t="n">
        <v>56</v>
      </c>
      <c r="B60" s="10" t="s">
        <v>590</v>
      </c>
      <c r="C60" s="10" t="s">
        <v>591</v>
      </c>
    </row>
    <row r="61" customFormat="false" ht="15" hidden="false" customHeight="false" outlineLevel="0" collapsed="false">
      <c r="A61" s="10" t="n">
        <v>57</v>
      </c>
      <c r="B61" s="10" t="s">
        <v>592</v>
      </c>
      <c r="C61" s="10" t="s">
        <v>593</v>
      </c>
    </row>
    <row r="62" customFormat="false" ht="15" hidden="false" customHeight="false" outlineLevel="0" collapsed="false">
      <c r="A62" s="10" t="n">
        <v>58</v>
      </c>
      <c r="B62" s="10" t="s">
        <v>594</v>
      </c>
      <c r="C62" s="10" t="s">
        <v>595</v>
      </c>
    </row>
    <row r="63" customFormat="false" ht="15" hidden="false" customHeight="false" outlineLevel="0" collapsed="false">
      <c r="A63" s="10" t="n">
        <v>59</v>
      </c>
      <c r="B63" s="10" t="s">
        <v>596</v>
      </c>
      <c r="C63" s="10" t="s">
        <v>597</v>
      </c>
    </row>
    <row r="64" customFormat="false" ht="15" hidden="false" customHeight="false" outlineLevel="0" collapsed="false">
      <c r="A64" s="10" t="n">
        <v>60</v>
      </c>
      <c r="B64" s="10" t="s">
        <v>598</v>
      </c>
      <c r="C64" s="10" t="s">
        <v>599</v>
      </c>
    </row>
    <row r="65" customFormat="false" ht="15" hidden="false" customHeight="false" outlineLevel="0" collapsed="false">
      <c r="A65" s="10" t="n">
        <v>61</v>
      </c>
      <c r="B65" s="10" t="s">
        <v>600</v>
      </c>
      <c r="C65" s="10" t="s">
        <v>601</v>
      </c>
    </row>
    <row r="66" customFormat="false" ht="15" hidden="false" customHeight="false" outlineLevel="0" collapsed="false">
      <c r="A66" s="10" t="n">
        <v>62</v>
      </c>
      <c r="B66" s="10" t="s">
        <v>602</v>
      </c>
      <c r="C66" s="10" t="s">
        <v>603</v>
      </c>
    </row>
    <row r="67" customFormat="false" ht="15" hidden="false" customHeight="false" outlineLevel="0" collapsed="false">
      <c r="A67" s="10" t="n">
        <v>63</v>
      </c>
      <c r="B67" s="10" t="s">
        <v>604</v>
      </c>
      <c r="C67" s="10" t="s">
        <v>605</v>
      </c>
    </row>
    <row r="68" customFormat="false" ht="15" hidden="false" customHeight="false" outlineLevel="0" collapsed="false">
      <c r="A68" s="10" t="n">
        <v>64</v>
      </c>
      <c r="B68" s="10" t="s">
        <v>606</v>
      </c>
      <c r="C68" s="10" t="s">
        <v>607</v>
      </c>
    </row>
    <row r="69" customFormat="false" ht="15" hidden="false" customHeight="false" outlineLevel="0" collapsed="false">
      <c r="A69" s="10" t="n">
        <v>65</v>
      </c>
      <c r="B69" s="10" t="s">
        <v>608</v>
      </c>
      <c r="C69" s="10" t="s">
        <v>609</v>
      </c>
    </row>
    <row r="70" customFormat="false" ht="15" hidden="false" customHeight="false" outlineLevel="0" collapsed="false">
      <c r="A70" s="10" t="n">
        <v>66</v>
      </c>
      <c r="B70" s="10" t="s">
        <v>610</v>
      </c>
      <c r="C70" s="10" t="s">
        <v>611</v>
      </c>
    </row>
    <row r="71" customFormat="false" ht="15" hidden="false" customHeight="false" outlineLevel="0" collapsed="false">
      <c r="A71" s="10" t="n">
        <v>67</v>
      </c>
      <c r="B71" s="10" t="s">
        <v>537</v>
      </c>
      <c r="C71" s="10" t="s">
        <v>612</v>
      </c>
    </row>
    <row r="72" customFormat="false" ht="15" hidden="false" customHeight="false" outlineLevel="0" collapsed="false">
      <c r="A72" s="10" t="n">
        <v>68</v>
      </c>
      <c r="B72" s="10" t="s">
        <v>613</v>
      </c>
      <c r="C72" s="10" t="s">
        <v>614</v>
      </c>
    </row>
    <row r="73" customFormat="false" ht="15" hidden="false" customHeight="false" outlineLevel="0" collapsed="false">
      <c r="A73" s="10" t="n">
        <v>69</v>
      </c>
      <c r="B73" s="10" t="s">
        <v>615</v>
      </c>
      <c r="C73" s="10" t="s">
        <v>616</v>
      </c>
    </row>
    <row r="74" customFormat="false" ht="15" hidden="false" customHeight="false" outlineLevel="0" collapsed="false">
      <c r="A74" s="10" t="n">
        <v>70</v>
      </c>
      <c r="B74" s="10" t="s">
        <v>617</v>
      </c>
      <c r="C74" s="10" t="s">
        <v>618</v>
      </c>
    </row>
    <row r="75" customFormat="false" ht="15" hidden="false" customHeight="false" outlineLevel="0" collapsed="false">
      <c r="A75" s="10" t="n">
        <v>71</v>
      </c>
      <c r="B75" s="10" t="s">
        <v>619</v>
      </c>
      <c r="C75" s="10" t="s">
        <v>620</v>
      </c>
    </row>
    <row r="76" customFormat="false" ht="15" hidden="false" customHeight="false" outlineLevel="0" collapsed="false">
      <c r="A76" s="10" t="n">
        <v>72</v>
      </c>
      <c r="B76" s="10" t="s">
        <v>621</v>
      </c>
      <c r="C76" s="10" t="s">
        <v>622</v>
      </c>
    </row>
    <row r="77" customFormat="false" ht="15" hidden="false" customHeight="false" outlineLevel="0" collapsed="false">
      <c r="A77" s="10" t="n">
        <v>73</v>
      </c>
      <c r="B77" s="10" t="s">
        <v>623</v>
      </c>
      <c r="C77" s="10" t="s">
        <v>624</v>
      </c>
    </row>
    <row r="78" customFormat="false" ht="15" hidden="false" customHeight="false" outlineLevel="0" collapsed="false">
      <c r="A78" s="10" t="n">
        <v>74</v>
      </c>
      <c r="B78" s="10" t="s">
        <v>625</v>
      </c>
      <c r="C78" s="10" t="s">
        <v>626</v>
      </c>
    </row>
    <row r="79" customFormat="false" ht="15" hidden="false" customHeight="false" outlineLevel="0" collapsed="false">
      <c r="A79" s="10" t="n">
        <v>75</v>
      </c>
      <c r="B79" s="10" t="s">
        <v>627</v>
      </c>
      <c r="C79" s="10" t="s">
        <v>628</v>
      </c>
    </row>
    <row r="80" customFormat="false" ht="15" hidden="false" customHeight="false" outlineLevel="0" collapsed="false">
      <c r="A80" s="10" t="n">
        <v>76</v>
      </c>
      <c r="B80" s="10" t="s">
        <v>629</v>
      </c>
      <c r="C80" s="10" t="s">
        <v>630</v>
      </c>
    </row>
    <row r="81" customFormat="false" ht="15" hidden="false" customHeight="false" outlineLevel="0" collapsed="false">
      <c r="A81" s="10" t="n">
        <v>77</v>
      </c>
      <c r="B81" s="10" t="s">
        <v>631</v>
      </c>
      <c r="C81" s="10" t="s">
        <v>632</v>
      </c>
    </row>
    <row r="82" customFormat="false" ht="15" hidden="false" customHeight="false" outlineLevel="0" collapsed="false">
      <c r="A82" s="10" t="n">
        <v>78</v>
      </c>
      <c r="B82" s="10" t="s">
        <v>633</v>
      </c>
      <c r="C82" s="10" t="s">
        <v>634</v>
      </c>
    </row>
    <row r="83" customFormat="false" ht="15" hidden="false" customHeight="false" outlineLevel="0" collapsed="false">
      <c r="A83" s="10" t="n">
        <v>79</v>
      </c>
      <c r="B83" s="10" t="s">
        <v>635</v>
      </c>
      <c r="C83" s="10" t="s">
        <v>636</v>
      </c>
    </row>
    <row r="84" customFormat="false" ht="15" hidden="false" customHeight="false" outlineLevel="0" collapsed="false">
      <c r="A84" s="10" t="n">
        <v>80</v>
      </c>
      <c r="B84" s="10" t="s">
        <v>637</v>
      </c>
      <c r="C84" s="10" t="s">
        <v>638</v>
      </c>
    </row>
    <row r="85" customFormat="false" ht="15" hidden="false" customHeight="false" outlineLevel="0" collapsed="false">
      <c r="A85" s="10" t="n">
        <v>81</v>
      </c>
      <c r="B85" s="10" t="s">
        <v>639</v>
      </c>
      <c r="C85" s="10" t="s">
        <v>640</v>
      </c>
    </row>
    <row r="86" customFormat="false" ht="15" hidden="false" customHeight="false" outlineLevel="0" collapsed="false">
      <c r="A86" s="10" t="n">
        <v>82</v>
      </c>
      <c r="B86" s="10" t="s">
        <v>641</v>
      </c>
      <c r="C86" s="10" t="s">
        <v>642</v>
      </c>
    </row>
    <row r="87" customFormat="false" ht="15" hidden="false" customHeight="false" outlineLevel="0" collapsed="false">
      <c r="A87" s="10" t="n">
        <v>83</v>
      </c>
      <c r="B87" s="10" t="s">
        <v>641</v>
      </c>
      <c r="C87" s="10" t="s">
        <v>643</v>
      </c>
    </row>
    <row r="88" customFormat="false" ht="15" hidden="false" customHeight="false" outlineLevel="0" collapsed="false">
      <c r="A88" s="10" t="n">
        <v>84</v>
      </c>
      <c r="B88" s="10" t="s">
        <v>644</v>
      </c>
      <c r="C88" s="10" t="s">
        <v>645</v>
      </c>
    </row>
    <row r="89" customFormat="false" ht="15" hidden="false" customHeight="false" outlineLevel="0" collapsed="false">
      <c r="A89" s="10" t="n">
        <v>85</v>
      </c>
      <c r="B89" s="10" t="s">
        <v>646</v>
      </c>
      <c r="C89" s="10" t="s">
        <v>647</v>
      </c>
    </row>
    <row r="90" customFormat="false" ht="15" hidden="false" customHeight="false" outlineLevel="0" collapsed="false">
      <c r="A90" s="10" t="n">
        <v>86</v>
      </c>
      <c r="B90" s="10" t="s">
        <v>648</v>
      </c>
      <c r="C90" s="10" t="s">
        <v>649</v>
      </c>
    </row>
    <row r="91" customFormat="false" ht="15" hidden="false" customHeight="false" outlineLevel="0" collapsed="false">
      <c r="A91" s="10" t="n">
        <v>87</v>
      </c>
      <c r="B91" s="10" t="s">
        <v>650</v>
      </c>
      <c r="C91" s="10" t="s">
        <v>651</v>
      </c>
    </row>
    <row r="92" customFormat="false" ht="15" hidden="false" customHeight="false" outlineLevel="0" collapsed="false">
      <c r="A92" s="10" t="n">
        <v>88</v>
      </c>
      <c r="B92" s="10" t="s">
        <v>652</v>
      </c>
      <c r="C92" s="10" t="s">
        <v>653</v>
      </c>
    </row>
    <row r="93" customFormat="false" ht="15" hidden="false" customHeight="false" outlineLevel="0" collapsed="false">
      <c r="A93" s="10" t="n">
        <v>89</v>
      </c>
      <c r="B93" s="10" t="s">
        <v>652</v>
      </c>
      <c r="C93" s="10" t="s">
        <v>654</v>
      </c>
    </row>
    <row r="94" customFormat="false" ht="15" hidden="false" customHeight="false" outlineLevel="0" collapsed="false">
      <c r="A94" s="10" t="n">
        <v>90</v>
      </c>
      <c r="B94" s="10" t="s">
        <v>655</v>
      </c>
      <c r="C94" s="10" t="s">
        <v>656</v>
      </c>
    </row>
    <row r="95" customFormat="false" ht="15" hidden="false" customHeight="false" outlineLevel="0" collapsed="false">
      <c r="A95" s="10" t="n">
        <v>91</v>
      </c>
      <c r="B95" s="10" t="s">
        <v>657</v>
      </c>
      <c r="C95" s="10" t="s">
        <v>658</v>
      </c>
    </row>
    <row r="96" customFormat="false" ht="15" hidden="false" customHeight="false" outlineLevel="0" collapsed="false">
      <c r="A96" s="10" t="n">
        <v>92</v>
      </c>
      <c r="B96" s="10" t="s">
        <v>659</v>
      </c>
      <c r="C96" s="10" t="s">
        <v>660</v>
      </c>
    </row>
    <row r="97" customFormat="false" ht="15" hidden="false" customHeight="false" outlineLevel="0" collapsed="false">
      <c r="A97" s="10" t="n">
        <v>93</v>
      </c>
      <c r="B97" s="10" t="s">
        <v>661</v>
      </c>
      <c r="C97" s="10" t="s">
        <v>662</v>
      </c>
    </row>
    <row r="98" customFormat="false" ht="15" hidden="false" customHeight="false" outlineLevel="0" collapsed="false">
      <c r="A98" s="10" t="n">
        <v>94</v>
      </c>
      <c r="B98" s="10" t="s">
        <v>663</v>
      </c>
      <c r="C98" s="10" t="s">
        <v>664</v>
      </c>
    </row>
    <row r="99" customFormat="false" ht="15" hidden="false" customHeight="false" outlineLevel="0" collapsed="false">
      <c r="A99" s="10" t="n">
        <v>95</v>
      </c>
      <c r="B99" s="10" t="s">
        <v>665</v>
      </c>
      <c r="C99" s="10" t="s">
        <v>666</v>
      </c>
    </row>
    <row r="100" customFormat="false" ht="15" hidden="false" customHeight="false" outlineLevel="0" collapsed="false">
      <c r="A100" s="10" t="n">
        <v>96</v>
      </c>
      <c r="B100" s="10" t="s">
        <v>667</v>
      </c>
      <c r="C100" s="10" t="s">
        <v>668</v>
      </c>
    </row>
    <row r="101" customFormat="false" ht="15" hidden="false" customHeight="false" outlineLevel="0" collapsed="false">
      <c r="A101" s="10" t="n">
        <v>97</v>
      </c>
      <c r="B101" s="10" t="s">
        <v>667</v>
      </c>
      <c r="C101" s="10" t="s">
        <v>669</v>
      </c>
    </row>
    <row r="102" customFormat="false" ht="15" hidden="false" customHeight="false" outlineLevel="0" collapsed="false">
      <c r="A102" s="10" t="n">
        <v>98</v>
      </c>
      <c r="B102" s="10" t="s">
        <v>670</v>
      </c>
      <c r="C102" s="10" t="s">
        <v>671</v>
      </c>
    </row>
    <row r="103" customFormat="false" ht="15" hidden="false" customHeight="false" outlineLevel="0" collapsed="false">
      <c r="A103" s="10" t="n">
        <v>99</v>
      </c>
      <c r="B103" s="10" t="s">
        <v>672</v>
      </c>
      <c r="C103" s="10" t="s">
        <v>673</v>
      </c>
    </row>
    <row r="104" customFormat="false" ht="15" hidden="false" customHeight="false" outlineLevel="0" collapsed="false">
      <c r="A104" s="10" t="n">
        <v>100</v>
      </c>
      <c r="B104" s="10" t="s">
        <v>674</v>
      </c>
      <c r="C104" s="10" t="s">
        <v>675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2026-10-02T13:29:45Z</dcterms:created>
  <dc:creator>openpyxl</dc:creator>
  <dc:description/>
  <dc:language>en-US</dc:language>
  <cp:lastModifiedBy/>
  <dcterms:modified xsi:type="dcterms:W3CDTF">2026-10-02T13:29:45Z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