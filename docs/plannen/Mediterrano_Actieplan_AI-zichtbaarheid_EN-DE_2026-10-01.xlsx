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eplan" sheetId="1" state="visible" r:id="rId3"/>
    <sheet name="Overzicht" sheetId="2" state="visible" r:id="rId4"/>
    <sheet name="Promptset" sheetId="3" state="visible" r:id="rId5"/>
    <sheet name="Meetlog" sheetId="4" state="visible" r:id="rId6"/>
    <sheet name="Meetresultaat" sheetId="5" state="visible" r:id="rId7"/>
    <sheet name="Bronnen en uitleg" sheetId="6" state="visible" r:id="rId8"/>
  </sheets>
  <definedNames>
    <definedName function="false" hidden="true" localSheetId="0" name="_xlnm._FilterDatabase" vbProcedure="false">Actieplan!$A$4:$L$21</definedName>
    <definedName function="false" hidden="true" localSheetId="3" name="_xlnm._FilterDatabase" vbProcedure="false">Meetlog!$A$4:$M$205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<sst xmlns="http://schemas.openxmlformats.org/spreadsheetml/2006/main" count="349" uniqueCount="185">
  <si>
    <t xml:space="preserve">Mediterrano Pilates · Actieplan AI-zichtbaarheid Engels en Duits (90 dagen)</t>
  </si>
  <si>
    <t xml:space="preserve">Gele cellen vul jij in (Status, Eigenaar bevestigen, Deadline aanpassen, Notities). Alle andere kolommen komen uit het onderzoeksrapport van 1 oktober 2026. Impact, inspanning en doorlooptijd zijn inschattingen, geen gemeten resultaten.</t>
  </si>
  <si>
    <t xml:space="preserve">#</t>
  </si>
  <si>
    <t xml:space="preserve">Fase</t>
  </si>
  <si>
    <t xml:space="preserve">Actie</t>
  </si>
  <si>
    <t xml:space="preserve">Type</t>
  </si>
  <si>
    <t xml:space="preserve">Wie</t>
  </si>
  <si>
    <t xml:space="preserve">Impact</t>
  </si>
  <si>
    <t xml:space="preserve">Inspanning</t>
  </si>
  <si>
    <t xml:space="preserve">Kosten</t>
  </si>
  <si>
    <t xml:space="preserve">Status</t>
  </si>
  <si>
    <t xml:space="preserve">Startdatum</t>
  </si>
  <si>
    <t xml:space="preserve">Deadline</t>
  </si>
  <si>
    <t xml:space="preserve">Notities</t>
  </si>
  <si>
    <t xml:space="preserve">Dag 1-30</t>
  </si>
  <si>
    <t xml:space="preserve">Bing Webmaster Tools: sitemap controleren, URL Inspection voor /en/ en /de/, ontbrekende URL's handmatig indienen</t>
  </si>
  <si>
    <t xml:space="preserve">Techniek</t>
  </si>
  <si>
    <t xml:space="preserve">jij</t>
  </si>
  <si>
    <t xml:space="preserve">zeer hoog</t>
  </si>
  <si>
    <t xml:space="preserve">1 uur</t>
  </si>
  <si>
    <t xml:space="preserve">€0</t>
  </si>
  <si>
    <t xml:space="preserve">Open</t>
  </si>
  <si>
    <t xml:space="preserve">IndexNow-sleutel aanmaken plus automatische melding van gewijzigde URL's na elke Netlify-deploy</t>
  </si>
  <si>
    <t xml:space="preserve">samen</t>
  </si>
  <si>
    <t xml:space="preserve">hoog</t>
  </si>
  <si>
    <t xml:space="preserve">2 tot 4 uur</t>
  </si>
  <si>
    <t xml:space="preserve">site:-controles in Bing, Google en Brave per taal (ES, EN, DE); uitgangsmeting indexering vastleggen</t>
  </si>
  <si>
    <t xml:space="preserve">Meten</t>
  </si>
  <si>
    <t xml:space="preserve">hreflang x-default naar /en/; verzendlanden, levertijd per regio, valuta-indicatie (GBP/CHF) en VK/CH douane- en btw-tekst op alle EN/DE-pagina's</t>
  </si>
  <si>
    <t xml:space="preserve">On-site</t>
  </si>
  <si>
    <t xml:space="preserve">Claude</t>
  </si>
  <si>
    <t xml:space="preserve">1 dag</t>
  </si>
  <si>
    <t xml:space="preserve">Over-ons met oprichter (naam, rol), Ecomtierra Group SL, adres en btw-nummer; bedrijfsnaam, adres en omschrijving overal identiek (site, LinkedIn, gidsen, Bing Places, GBP)</t>
  </si>
  <si>
    <t xml:space="preserve">middel</t>
  </si>
  <si>
    <t xml:space="preserve">2 uur</t>
  </si>
  <si>
    <t xml:space="preserve">LinkedIn-bedrijfspagina met Engels als primaire taal (DE en ES als extra talen); Bing Places; Crunchbase; Europages; wlw (Wer liefert was)</t>
  </si>
  <si>
    <t xml:space="preserve">Off-site</t>
  </si>
  <si>
    <t xml:space="preserve">Uitgangsmeting met het promptprotocol (10 EN + 10 DE prompts, 3 tot 4 runs per platform, VPN VK en DE); vastleggen in tabblad Meetlog</t>
  </si>
  <si>
    <t xml:space="preserve">3 uur</t>
  </si>
  <si>
    <t xml:space="preserve">€0 (VPN optioneel)</t>
  </si>
  <si>
    <t xml:space="preserve">Dag 31-60</t>
  </si>
  <si>
    <t xml:space="preserve">Landpagina's VK, Ierland en DACH met unieke land-FAQ (levertijd, douane/btw, valuta, maatvoering EU/UK)</t>
  </si>
  <si>
    <t xml:space="preserve">3 tot 4 dagen</t>
  </si>
  <si>
    <t xml:space="preserve">Koopgids 'How to choose a custom grip sock supplier for your studio' in EN en DE, met feitelijke specificatietabel (MOQ, prijs per paar per staffel, productietijd, logotechniek, materiaal, maten)</t>
  </si>
  <si>
    <t xml:space="preserve">2 dagen</t>
  </si>
  <si>
    <t xml:space="preserve">Faire-account (DE/EU-wholesale) aanmaken; eventueel Etsy-listing voor kleine custom-orders</t>
  </si>
  <si>
    <t xml:space="preserve">middel-hoog</t>
  </si>
  <si>
    <t xml:space="preserve">commissie per verkoop</t>
  </si>
  <si>
    <t xml:space="preserve">Wikidata-item voor Mediterrano Pilates / Ecomtierra Group SL, alleen met verifieerbare bronnen</t>
  </si>
  <si>
    <t xml:space="preserve">laag-middel</t>
  </si>
  <si>
    <t xml:space="preserve">3 tot 4 korte YouTube-video's in het Engels met Duitse ondertitels: productie van een gripsok met logo, van mockup tot levering, maatvoering voor studio's</t>
  </si>
  <si>
    <t xml:space="preserve">3 tot 5 dagen</t>
  </si>
  <si>
    <t xml:space="preserve">€0 tot 200</t>
  </si>
  <si>
    <t xml:space="preserve">Reddit (r/pilates, r/yoga, r/smallbusiness, r/fitnessbusiness) en Quora: transparant als oprichter echte vragen beantwoorden; nooit links spammen</t>
  </si>
  <si>
    <t xml:space="preserve">2 uur per week</t>
  </si>
  <si>
    <t xml:space="preserve">Dag 61-90</t>
  </si>
  <si>
    <t xml:space="preserve">5 tot 10 pitches voor gastartikelen en podcasts bij Engelse en Duitse pilates- en studio-ondernemersmedia (onderwerp: retailmarges voor studio's, geen advertorial)</t>
  </si>
  <si>
    <t xml:space="preserve">1 week</t>
  </si>
  <si>
    <t xml:space="preserve">Onafhankelijke bloggers en reviewers benaderen voor eerlijke tests met gratis samples (met duidelijke disclosure); geen betaalde lijstplaatsing</t>
  </si>
  <si>
    <t xml:space="preserve">doorlopend</t>
  </si>
  <si>
    <t xml:space="preserve">samplekosten</t>
  </si>
  <si>
    <t xml:space="preserve">Eerste echte klanten in VK/IE/DACH actief om Google- en Trustpilot-reviews vragen (pas na echte orders; nooit reviews kopen of aan niet-klanten vragen)</t>
  </si>
  <si>
    <t xml:space="preserve">na eerste orders</t>
  </si>
  <si>
    <t xml:space="preserve">Tweede en derde meting (dag 60 en 90) met hetzelfde promptprotocol; vergelijken met uitgangsmeting; content bijsturen op deelzoekopdrachten en concurrenten die opduiken</t>
  </si>
  <si>
    <t xml:space="preserve">Voorbeeld van een ingevulde regel:</t>
  </si>
  <si>
    <t xml:space="preserve">(voorbeeld) Bing Webmaster Tools gecontroleerd</t>
  </si>
  <si>
    <t xml:space="preserve">Klaar</t>
  </si>
  <si>
    <t xml:space="preserve">Alle 19 EN-URL's en 18 DE-URL's stonden al in Bing; 2 blogartikelen handmatig ingediend.</t>
  </si>
  <si>
    <t xml:space="preserve">Voortgang in één oogopslag</t>
  </si>
  <si>
    <t xml:space="preserve">Alle cijfers zijn formules op het tabblad Actieplan; dit tabblad hoef je niet in te vullen.</t>
  </si>
  <si>
    <t xml:space="preserve">Aantal</t>
  </si>
  <si>
    <t xml:space="preserve">Aandeel</t>
  </si>
  <si>
    <t xml:space="preserve">Bezig</t>
  </si>
  <si>
    <t xml:space="preserve">Niet van toepassing</t>
  </si>
  <si>
    <t xml:space="preserve">Totaal</t>
  </si>
  <si>
    <t xml:space="preserve">Te laat (deadline verstreken, niet klaar)</t>
  </si>
  <si>
    <t xml:space="preserve">Acties</t>
  </si>
  <si>
    <t xml:space="preserve">Voortgang</t>
  </si>
  <si>
    <t xml:space="preserve">Vaste promptset voor de AI-zichtbaarheidsmeting</t>
  </si>
  <si>
    <t xml:space="preserve">Gebruik exact deze formuleringen, elke keer in een nieuwe chat met geheugen uit, 3 tot 4 runs per prompt per platform. De drie prompts van de testpersoon in de VS staan erbij (EN-01 tot EN-03). Voeg zelf prompts toe in de gele rijen.</t>
  </si>
  <si>
    <t xml:space="preserve">Code</t>
  </si>
  <si>
    <t xml:space="preserve">Taal</t>
  </si>
  <si>
    <t xml:space="preserve">Prompt</t>
  </si>
  <si>
    <t xml:space="preserve">Soort</t>
  </si>
  <si>
    <t xml:space="preserve">EN-01</t>
  </si>
  <si>
    <t xml:space="preserve">EN</t>
  </si>
  <si>
    <t xml:space="preserve">I'd like to buy accessories for my Pilates studio to sell to members; where can I get them?</t>
  </si>
  <si>
    <t xml:space="preserve">generiek (testpersoon)</t>
  </si>
  <si>
    <t xml:space="preserve">EN-02</t>
  </si>
  <si>
    <t xml:space="preserve">Where can I buy branded grip socks for my Pilates studio?</t>
  </si>
  <si>
    <t xml:space="preserve">specifiek (testpersoon)</t>
  </si>
  <si>
    <t xml:space="preserve">EN-03</t>
  </si>
  <si>
    <t xml:space="preserve">Where can I buy grip socks and tumblers for my yoga studio with my studio's name on them?</t>
  </si>
  <si>
    <t xml:space="preserve">EN-04</t>
  </si>
  <si>
    <t xml:space="preserve">Custom grip socks with my studio logo for a Pilates studio in the UK, minimum order 50 pairs</t>
  </si>
  <si>
    <t xml:space="preserve">specifiek + land</t>
  </si>
  <si>
    <t xml:space="preserve">EN-05</t>
  </si>
  <si>
    <t xml:space="preserve">Best supplier of custom Pilates grip socks for studios in Ireland</t>
  </si>
  <si>
    <t xml:space="preserve">EN-06</t>
  </si>
  <si>
    <t xml:space="preserve">EU-based supplier of branded merchandise for Pilates and yoga studios (grip socks, tumblers, tote bags)</t>
  </si>
  <si>
    <t xml:space="preserve">specifiek + regio</t>
  </si>
  <si>
    <t xml:space="preserve">EN-07</t>
  </si>
  <si>
    <t xml:space="preserve">How much do custom grip socks with a logo cost per pair for a Pilates studio?</t>
  </si>
  <si>
    <t xml:space="preserve">informatief (prijs)</t>
  </si>
  <si>
    <t xml:space="preserve">EN-08</t>
  </si>
  <si>
    <t xml:space="preserve">Which companies make personalised Pilates rings and tote bags with a studio logo?</t>
  </si>
  <si>
    <t xml:space="preserve">specifiek (ander product)</t>
  </si>
  <si>
    <t xml:space="preserve">EN-09</t>
  </si>
  <si>
    <t xml:space="preserve">I run a yoga studio in the Netherlands and want to sell merchandise with our logo. Which suppliers ship to the Netherlands?</t>
  </si>
  <si>
    <t xml:space="preserve">EN-10</t>
  </si>
  <si>
    <t xml:space="preserve">Free mockup custom grip socks studio logo</t>
  </si>
  <si>
    <t xml:space="preserve">kort / zoekmachine-stijl</t>
  </si>
  <si>
    <t xml:space="preserve">DE-01</t>
  </si>
  <si>
    <t xml:space="preserve">DE</t>
  </si>
  <si>
    <t xml:space="preserve">Wo kann ich Stoppersocken mit dem Logo meines Pilates-Studios bestellen?</t>
  </si>
  <si>
    <t xml:space="preserve">specifiek</t>
  </si>
  <si>
    <t xml:space="preserve">DE-02</t>
  </si>
  <si>
    <t xml:space="preserve">Welche Anbieter machen personalisiertes Merchandising für Pilates- und Yogastudios in Deutschland?</t>
  </si>
  <si>
    <t xml:space="preserve">DE-03</t>
  </si>
  <si>
    <t xml:space="preserve">Rutschfeste Socken mit Studio-Logo, kleine Mindestmenge, Lieferung nach Österreich</t>
  </si>
  <si>
    <t xml:space="preserve">DE-04</t>
  </si>
  <si>
    <t xml:space="preserve">Ich möchte in meinem Pilates-Studio Socken, Trinkflaschen und Taschen mit unserem Logo verkaufen. Welcher Lieferant bietet alles zusammen an?</t>
  </si>
  <si>
    <t xml:space="preserve">specifiek (pakket)</t>
  </si>
  <si>
    <t xml:space="preserve">DE-05</t>
  </si>
  <si>
    <t xml:space="preserve">Was kosten Grip-Socken mit Logo pro Paar für ein Studio?</t>
  </si>
  <si>
    <t xml:space="preserve">DE-06</t>
  </si>
  <si>
    <t xml:space="preserve">Bester Anbieter für Pilates-Ringe mit Logo für Studios in der Schweiz</t>
  </si>
  <si>
    <t xml:space="preserve">DE-07</t>
  </si>
  <si>
    <t xml:space="preserve">Merchandise für Yogastudio mit eigenem Logo bestellen, Lieferung in die EU</t>
  </si>
  <si>
    <t xml:space="preserve">DE-08</t>
  </si>
  <si>
    <t xml:space="preserve">Kostenloses Mockup Stoppersocken mit Logo Pilates-Studio</t>
  </si>
  <si>
    <t xml:space="preserve">DE-09</t>
  </si>
  <si>
    <t xml:space="preserve">Wie kann mein Pilates-Studio mit Merchandise zusätzlichen Umsatz machen und wo bestelle ich das?</t>
  </si>
  <si>
    <t xml:space="preserve">generiek</t>
  </si>
  <si>
    <t xml:space="preserve">DE-10</t>
  </si>
  <si>
    <t xml:space="preserve">Personalisierte Antirutschsocken für Barre- und Pilates-Studios, 50 bis 100 Paar</t>
  </si>
  <si>
    <t xml:space="preserve">specifiek (aantal)</t>
  </si>
  <si>
    <t xml:space="preserve">Meetlog AI-zichtbaarheid (elke twee weken)</t>
  </si>
  <si>
    <t xml:space="preserve">Eén regel per run. Vul de gele kolommen in; de kolommen 'Genoemd (1/0)' en 'Geciteerd (1/0)' voeden het tabblad Meetresultaat. Platforms: ChatGPT, Gemini, Perplexity, Claude, Google AI Overview. Land = VPN-exitpunt (ES, UK, IE, DE, AT, CH, NL, US).</t>
  </si>
  <si>
    <t xml:space="preserve">Datum</t>
  </si>
  <si>
    <t xml:space="preserve">Meting</t>
  </si>
  <si>
    <t xml:space="preserve">Platform</t>
  </si>
  <si>
    <t xml:space="preserve">Promptcode</t>
  </si>
  <si>
    <t xml:space="preserve">Land (VPN)</t>
  </si>
  <si>
    <t xml:space="preserve">Run</t>
  </si>
  <si>
    <t xml:space="preserve">Merk genoemd (ja/nee)</t>
  </si>
  <si>
    <t xml:space="preserve">Genoemd (1/0)</t>
  </si>
  <si>
    <t xml:space="preserve">Positie in antwoord</t>
  </si>
  <si>
    <t xml:space="preserve">mediterranopilates.com geciteerd (ja/nee)</t>
  </si>
  <si>
    <t xml:space="preserve">Geciteerd (1/0)</t>
  </si>
  <si>
    <t xml:space="preserve">Concurrenten genoemd</t>
  </si>
  <si>
    <t xml:space="preserve">Bronnen geciteerd / opmerking</t>
  </si>
  <si>
    <t xml:space="preserve">M0 (uitgangsmeting)</t>
  </si>
  <si>
    <t xml:space="preserve">ChatGPT</t>
  </si>
  <si>
    <t xml:space="preserve">UK</t>
  </si>
  <si>
    <t xml:space="preserve">nee</t>
  </si>
  <si>
    <t xml:space="preserve">PilatesGoods, hipSwan, Made by Cooper</t>
  </si>
  <si>
    <t xml:space="preserve">Voorbeeldregel: vervang door je eigen metingen</t>
  </si>
  <si>
    <t xml:space="preserve">Meetresultaat: aandeel runs waarin Mediterrano genoemd of geciteerd wordt</t>
  </si>
  <si>
    <t xml:space="preserve">Formules op het tabblad Meetlog. Vergelijk M0 (uitgangsmeting) met M1 (dag 60) en M2 (dag 90). Verschillen kleiner dan 5 tot 7 procentpunt vallen binnen de normale spreiding van AI-antwoorden en zijn geen bewijs van verandering.</t>
  </si>
  <si>
    <t xml:space="preserve">Runs</t>
  </si>
  <si>
    <t xml:space="preserve">Genoemd (aantal)</t>
  </si>
  <si>
    <t xml:space="preserve">Genoemd (%)</t>
  </si>
  <si>
    <t xml:space="preserve">Geciteerd (%)</t>
  </si>
  <si>
    <t xml:space="preserve">M1 (dag 60)</t>
  </si>
  <si>
    <t xml:space="preserve">M2 (dag 90)</t>
  </si>
  <si>
    <t xml:space="preserve">Per platform (alle metingen samen)</t>
  </si>
  <si>
    <t xml:space="preserve">Gemini</t>
  </si>
  <si>
    <t xml:space="preserve">Perplexity</t>
  </si>
  <si>
    <t xml:space="preserve">Google AI Overview</t>
  </si>
  <si>
    <t xml:space="preserve">Legenda, aannames en bronnen</t>
  </si>
  <si>
    <t xml:space="preserve">Legenda kleuren</t>
  </si>
  <si>
    <t xml:space="preserve">Geel = invullen door jou. Groen (Status) = Klaar. Zalm = Bezig. Rode deadline = verstreken en nog niet klaar.</t>
  </si>
  <si>
    <t xml:space="preserve">jij = alleen jij kunt dit (accounts, platforms, geld). Claude = ik bouw of schrijf het zonder verdere input. samen = jij levert input of toegang, ik werk het uit.</t>
  </si>
  <si>
    <t xml:space="preserve">Verwachte invloed op vermelding in AI-antwoorden. Eigen inschatting op basis van citatiestudies (Ahrefs 75.000 merken; Peec AI 10 miljoen prompts; Seer Interactive; Profound). Verbanden, geen bewezen oorzaken.</t>
  </si>
  <si>
    <t xml:space="preserve">Inspanning en kosten</t>
  </si>
  <si>
    <t xml:space="preserve">Inschatting van tijd en directe kosten. Commissies van Faire/Etsy en prijzen van betaalde meettools zijn niet geverifieerd.</t>
  </si>
  <si>
    <t xml:space="preserve">Start- en deadlinedatums</t>
  </si>
  <si>
    <t xml:space="preserve">Automatisch gezet vanaf 1 oktober 2026 volgens de fase-indeling dag 1-30, 31-60, 61-90. Pas ze gerust aan.</t>
  </si>
  <si>
    <t xml:space="preserve">Merkregel</t>
  </si>
  <si>
    <t xml:space="preserve">Geen testimonials, casestudy's, klantlogo's of klantaantallen zolang er geen echte klanten zijn. Actie 16 (reviews) pas na echte orders en nooit gekocht.</t>
  </si>
  <si>
    <t xml:space="preserve">Meetprotocol</t>
  </si>
  <si>
    <t xml:space="preserve">Elke prompt 3 tot 4 keer per platform in een nieuwe chat met geheugen uit, via VPN in het doelland. Eén run zegt weinig: AI-antwoorden variëren per run. Meet elke twee weken, vergelijk M0, M1 en M2.</t>
  </si>
  <si>
    <t xml:space="preserve">Volledig rapport</t>
  </si>
  <si>
    <t xml:space="preserve">Mediterrano_AI-zichtbaarheid_EN-DE_onderzoek_en_90-dagenplan_2026-10-01.pdf (11 pagina's, met bronnenlijst van 59 URL's).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</si>
</sst>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34"/>
      <name val="Arial"/>
      <family val="0"/>
      <charset val="1"/>
    </font>
    <font>
      <i val="true"/>
      <sz val="9"/>
      <color rgb="FF6B73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36C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34"/>
        <bgColor rgb="FF333300"/>
      </patternFill>
    </fill>
    <fill>
      <patternFill patternType="solid">
        <fgColor rgb="FFFFF2CC"/>
        <bgColor rgb="FFFBE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40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8E6D9"/>
        </patternFill>
      </fill>
    </dxf>
    <dxf>
      <fill>
        <patternFill>
          <bgColor rgb="FFFBE7DC"/>
        </patternFill>
      </fill>
    </dxf>
    <dxf>
      <font>
        <name val="Arial"/>
        <charset val="1"/>
        <family val="0"/>
        <b val="1"/>
        <color rgb="FFB4552E"/>
      </font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B736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6B736C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D9"/>
      <rgbColor rgb="FFFBE7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52E"/>
      <rgbColor rgb="FF993366"/>
      <rgbColor rgb="FF333399"/>
      <rgbColor rgb="FF2E40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s">
        <v>17</v>
      </c>
      <c r="F5" s="4" t="s">
        <v>18</v>
      </c>
      <c r="G5" s="4" t="s">
        <v>19</v>
      </c>
      <c r="H5" s="4" t="s">
        <v>20</v>
      </c>
      <c r="I5" s="5" t="s">
        <v>21</v>
      </c>
      <c r="J5" s="6" t="n">
        <v>46296</v>
      </c>
      <c r="K5" s="7" t="n">
        <v>46303</v>
      </c>
      <c r="L5" s="5"/>
    </row>
    <row r="6" customFormat="false" ht="23.85" hidden="false" customHeight="false" outlineLevel="0" collapsed="false">
      <c r="A6" s="4" t="n">
        <v>2</v>
      </c>
      <c r="B6" s="4" t="s">
        <v>14</v>
      </c>
      <c r="C6" s="4" t="s">
        <v>22</v>
      </c>
      <c r="D6" s="4" t="s">
        <v>16</v>
      </c>
      <c r="E6" s="5" t="s">
        <v>23</v>
      </c>
      <c r="F6" s="4" t="s">
        <v>24</v>
      </c>
      <c r="G6" s="4" t="s">
        <v>25</v>
      </c>
      <c r="H6" s="4" t="s">
        <v>20</v>
      </c>
      <c r="I6" s="5" t="s">
        <v>21</v>
      </c>
      <c r="J6" s="6" t="n">
        <v>46296</v>
      </c>
      <c r="K6" s="7" t="n">
        <v>46306</v>
      </c>
      <c r="L6" s="5"/>
    </row>
    <row r="7" customFormat="false" ht="23.85" hidden="false" customHeight="false" outlineLevel="0" collapsed="false">
      <c r="A7" s="4" t="n">
        <v>3</v>
      </c>
      <c r="B7" s="4" t="s">
        <v>14</v>
      </c>
      <c r="C7" s="4" t="s">
        <v>26</v>
      </c>
      <c r="D7" s="4" t="s">
        <v>27</v>
      </c>
      <c r="E7" s="5" t="s">
        <v>17</v>
      </c>
      <c r="F7" s="4" t="s">
        <v>24</v>
      </c>
      <c r="G7" s="4" t="s">
        <v>19</v>
      </c>
      <c r="H7" s="4" t="s">
        <v>20</v>
      </c>
      <c r="I7" s="5" t="s">
        <v>21</v>
      </c>
      <c r="J7" s="6" t="n">
        <v>46296</v>
      </c>
      <c r="K7" s="7" t="n">
        <v>46303</v>
      </c>
      <c r="L7" s="5"/>
    </row>
    <row r="8" customFormat="false" ht="23.85" hidden="false" customHeight="false" outlineLevel="0" collapsed="false">
      <c r="A8" s="4" t="n">
        <v>4</v>
      </c>
      <c r="B8" s="4" t="s">
        <v>14</v>
      </c>
      <c r="C8" s="4" t="s">
        <v>28</v>
      </c>
      <c r="D8" s="4" t="s">
        <v>29</v>
      </c>
      <c r="E8" s="5" t="s">
        <v>30</v>
      </c>
      <c r="F8" s="4" t="s">
        <v>24</v>
      </c>
      <c r="G8" s="4" t="s">
        <v>31</v>
      </c>
      <c r="H8" s="4" t="s">
        <v>20</v>
      </c>
      <c r="I8" s="5" t="s">
        <v>21</v>
      </c>
      <c r="J8" s="6" t="n">
        <v>46299</v>
      </c>
      <c r="K8" s="7" t="n">
        <v>46310</v>
      </c>
      <c r="L8" s="5"/>
    </row>
    <row r="9" customFormat="false" ht="35.05" hidden="false" customHeight="false" outlineLevel="0" collapsed="false">
      <c r="A9" s="4" t="n">
        <v>5</v>
      </c>
      <c r="B9" s="4" t="s">
        <v>14</v>
      </c>
      <c r="C9" s="4" t="s">
        <v>32</v>
      </c>
      <c r="D9" s="4" t="s">
        <v>29</v>
      </c>
      <c r="E9" s="5" t="s">
        <v>23</v>
      </c>
      <c r="F9" s="4" t="s">
        <v>33</v>
      </c>
      <c r="G9" s="4" t="s">
        <v>34</v>
      </c>
      <c r="H9" s="4" t="s">
        <v>20</v>
      </c>
      <c r="I9" s="5" t="s">
        <v>21</v>
      </c>
      <c r="J9" s="6" t="n">
        <v>46299</v>
      </c>
      <c r="K9" s="7" t="n">
        <v>46310</v>
      </c>
      <c r="L9" s="5"/>
    </row>
    <row r="10" customFormat="false" ht="23.85" hidden="false" customHeight="false" outlineLevel="0" collapsed="false">
      <c r="A10" s="4" t="n">
        <v>6</v>
      </c>
      <c r="B10" s="4" t="s">
        <v>14</v>
      </c>
      <c r="C10" s="4" t="s">
        <v>35</v>
      </c>
      <c r="D10" s="4" t="s">
        <v>36</v>
      </c>
      <c r="E10" s="5" t="s">
        <v>17</v>
      </c>
      <c r="F10" s="4" t="s">
        <v>33</v>
      </c>
      <c r="G10" s="4" t="s">
        <v>31</v>
      </c>
      <c r="H10" s="4" t="s">
        <v>20</v>
      </c>
      <c r="I10" s="5" t="s">
        <v>21</v>
      </c>
      <c r="J10" s="6" t="n">
        <v>46303</v>
      </c>
      <c r="K10" s="7" t="n">
        <v>46326</v>
      </c>
      <c r="L10" s="5"/>
    </row>
    <row r="11" customFormat="false" ht="23.85" hidden="false" customHeight="false" outlineLevel="0" collapsed="false">
      <c r="A11" s="4" t="n">
        <v>7</v>
      </c>
      <c r="B11" s="4" t="s">
        <v>14</v>
      </c>
      <c r="C11" s="4" t="s">
        <v>37</v>
      </c>
      <c r="D11" s="4" t="s">
        <v>27</v>
      </c>
      <c r="E11" s="5" t="s">
        <v>23</v>
      </c>
      <c r="F11" s="4" t="s">
        <v>24</v>
      </c>
      <c r="G11" s="4" t="s">
        <v>38</v>
      </c>
      <c r="H11" s="4" t="s">
        <v>39</v>
      </c>
      <c r="I11" s="5" t="s">
        <v>21</v>
      </c>
      <c r="J11" s="6" t="n">
        <v>46303</v>
      </c>
      <c r="K11" s="7" t="n">
        <v>46317</v>
      </c>
      <c r="L11" s="5"/>
    </row>
    <row r="12" customFormat="false" ht="23.85" hidden="false" customHeight="false" outlineLevel="0" collapsed="false">
      <c r="A12" s="4" t="n">
        <v>8</v>
      </c>
      <c r="B12" s="4" t="s">
        <v>40</v>
      </c>
      <c r="C12" s="4" t="s">
        <v>41</v>
      </c>
      <c r="D12" s="4" t="s">
        <v>29</v>
      </c>
      <c r="E12" s="5" t="s">
        <v>30</v>
      </c>
      <c r="F12" s="4" t="s">
        <v>24</v>
      </c>
      <c r="G12" s="4" t="s">
        <v>42</v>
      </c>
      <c r="H12" s="4" t="s">
        <v>20</v>
      </c>
      <c r="I12" s="5" t="s">
        <v>21</v>
      </c>
      <c r="J12" s="6" t="n">
        <v>46327</v>
      </c>
      <c r="K12" s="7" t="n">
        <v>46341</v>
      </c>
      <c r="L12" s="5"/>
    </row>
    <row r="13" customFormat="false" ht="35.05" hidden="false" customHeight="false" outlineLevel="0" collapsed="false">
      <c r="A13" s="4" t="n">
        <v>9</v>
      </c>
      <c r="B13" s="4" t="s">
        <v>40</v>
      </c>
      <c r="C13" s="4" t="s">
        <v>43</v>
      </c>
      <c r="D13" s="4" t="s">
        <v>29</v>
      </c>
      <c r="E13" s="5" t="s">
        <v>30</v>
      </c>
      <c r="F13" s="4" t="s">
        <v>24</v>
      </c>
      <c r="G13" s="4" t="s">
        <v>44</v>
      </c>
      <c r="H13" s="4" t="s">
        <v>20</v>
      </c>
      <c r="I13" s="5" t="s">
        <v>21</v>
      </c>
      <c r="J13" s="6" t="n">
        <v>46327</v>
      </c>
      <c r="K13" s="7" t="n">
        <v>46341</v>
      </c>
      <c r="L13" s="5"/>
    </row>
    <row r="14" customFormat="false" ht="23.85" hidden="false" customHeight="false" outlineLevel="0" collapsed="false">
      <c r="A14" s="4" t="n">
        <v>10</v>
      </c>
      <c r="B14" s="4" t="s">
        <v>40</v>
      </c>
      <c r="C14" s="4" t="s">
        <v>45</v>
      </c>
      <c r="D14" s="4" t="s">
        <v>36</v>
      </c>
      <c r="E14" s="5" t="s">
        <v>17</v>
      </c>
      <c r="F14" s="4" t="s">
        <v>46</v>
      </c>
      <c r="G14" s="4" t="s">
        <v>44</v>
      </c>
      <c r="H14" s="4" t="s">
        <v>47</v>
      </c>
      <c r="I14" s="5" t="s">
        <v>21</v>
      </c>
      <c r="J14" s="6" t="n">
        <v>46327</v>
      </c>
      <c r="K14" s="7" t="n">
        <v>46356</v>
      </c>
      <c r="L14" s="5"/>
    </row>
    <row r="15" customFormat="false" ht="23.85" hidden="false" customHeight="false" outlineLevel="0" collapsed="false">
      <c r="A15" s="4" t="n">
        <v>11</v>
      </c>
      <c r="B15" s="4" t="s">
        <v>40</v>
      </c>
      <c r="C15" s="4" t="s">
        <v>48</v>
      </c>
      <c r="D15" s="4" t="s">
        <v>36</v>
      </c>
      <c r="E15" s="5" t="s">
        <v>30</v>
      </c>
      <c r="F15" s="4" t="s">
        <v>49</v>
      </c>
      <c r="G15" s="4" t="s">
        <v>34</v>
      </c>
      <c r="H15" s="4" t="s">
        <v>20</v>
      </c>
      <c r="I15" s="5" t="s">
        <v>21</v>
      </c>
      <c r="J15" s="6" t="n">
        <v>46327</v>
      </c>
      <c r="K15" s="7" t="n">
        <v>46341</v>
      </c>
      <c r="L15" s="5"/>
    </row>
    <row r="16" customFormat="false" ht="35.05" hidden="false" customHeight="false" outlineLevel="0" collapsed="false">
      <c r="A16" s="4" t="n">
        <v>12</v>
      </c>
      <c r="B16" s="4" t="s">
        <v>40</v>
      </c>
      <c r="C16" s="4" t="s">
        <v>50</v>
      </c>
      <c r="D16" s="4" t="s">
        <v>36</v>
      </c>
      <c r="E16" s="5" t="s">
        <v>23</v>
      </c>
      <c r="F16" s="4" t="s">
        <v>24</v>
      </c>
      <c r="G16" s="4" t="s">
        <v>51</v>
      </c>
      <c r="H16" s="4" t="s">
        <v>52</v>
      </c>
      <c r="I16" s="5" t="s">
        <v>21</v>
      </c>
      <c r="J16" s="6" t="n">
        <v>46327</v>
      </c>
      <c r="K16" s="7" t="n">
        <v>46356</v>
      </c>
      <c r="L16" s="5"/>
    </row>
    <row r="17" customFormat="false" ht="23.85" hidden="false" customHeight="false" outlineLevel="0" collapsed="false">
      <c r="A17" s="4" t="n">
        <v>13</v>
      </c>
      <c r="B17" s="4" t="s">
        <v>40</v>
      </c>
      <c r="C17" s="4" t="s">
        <v>53</v>
      </c>
      <c r="D17" s="4" t="s">
        <v>36</v>
      </c>
      <c r="E17" s="5" t="s">
        <v>23</v>
      </c>
      <c r="F17" s="4" t="s">
        <v>46</v>
      </c>
      <c r="G17" s="4" t="s">
        <v>54</v>
      </c>
      <c r="H17" s="4" t="s">
        <v>20</v>
      </c>
      <c r="I17" s="5" t="s">
        <v>21</v>
      </c>
      <c r="J17" s="6" t="n">
        <v>46327</v>
      </c>
      <c r="K17" s="7" t="n">
        <v>46386</v>
      </c>
      <c r="L17" s="5"/>
    </row>
    <row r="18" customFormat="false" ht="35.05" hidden="false" customHeight="false" outlineLevel="0" collapsed="false">
      <c r="A18" s="4" t="n">
        <v>14</v>
      </c>
      <c r="B18" s="4" t="s">
        <v>55</v>
      </c>
      <c r="C18" s="4" t="s">
        <v>56</v>
      </c>
      <c r="D18" s="4" t="s">
        <v>36</v>
      </c>
      <c r="E18" s="5" t="s">
        <v>23</v>
      </c>
      <c r="F18" s="4" t="s">
        <v>24</v>
      </c>
      <c r="G18" s="4" t="s">
        <v>57</v>
      </c>
      <c r="H18" s="4" t="s">
        <v>20</v>
      </c>
      <c r="I18" s="5" t="s">
        <v>21</v>
      </c>
      <c r="J18" s="6" t="n">
        <v>46357</v>
      </c>
      <c r="K18" s="7" t="n">
        <v>46386</v>
      </c>
      <c r="L18" s="5"/>
    </row>
    <row r="19" customFormat="false" ht="23.85" hidden="false" customHeight="false" outlineLevel="0" collapsed="false">
      <c r="A19" s="4" t="n">
        <v>15</v>
      </c>
      <c r="B19" s="4" t="s">
        <v>55</v>
      </c>
      <c r="C19" s="4" t="s">
        <v>58</v>
      </c>
      <c r="D19" s="4" t="s">
        <v>36</v>
      </c>
      <c r="E19" s="5" t="s">
        <v>17</v>
      </c>
      <c r="F19" s="4" t="s">
        <v>24</v>
      </c>
      <c r="G19" s="4" t="s">
        <v>59</v>
      </c>
      <c r="H19" s="4" t="s">
        <v>60</v>
      </c>
      <c r="I19" s="5" t="s">
        <v>21</v>
      </c>
      <c r="J19" s="6" t="n">
        <v>46357</v>
      </c>
      <c r="K19" s="7" t="n">
        <v>46386</v>
      </c>
      <c r="L19" s="5"/>
    </row>
    <row r="20" customFormat="false" ht="35.05" hidden="false" customHeight="false" outlineLevel="0" collapsed="false">
      <c r="A20" s="4" t="n">
        <v>16</v>
      </c>
      <c r="B20" s="4" t="s">
        <v>55</v>
      </c>
      <c r="C20" s="4" t="s">
        <v>61</v>
      </c>
      <c r="D20" s="4" t="s">
        <v>36</v>
      </c>
      <c r="E20" s="5" t="s">
        <v>17</v>
      </c>
      <c r="F20" s="4" t="s">
        <v>24</v>
      </c>
      <c r="G20" s="4" t="s">
        <v>62</v>
      </c>
      <c r="H20" s="4" t="s">
        <v>20</v>
      </c>
      <c r="I20" s="5" t="s">
        <v>21</v>
      </c>
      <c r="J20" s="6" t="n">
        <v>46357</v>
      </c>
      <c r="K20" s="7" t="n">
        <v>46386</v>
      </c>
      <c r="L20" s="5"/>
    </row>
    <row r="21" customFormat="false" ht="35.05" hidden="false" customHeight="false" outlineLevel="0" collapsed="false">
      <c r="A21" s="4" t="n">
        <v>17</v>
      </c>
      <c r="B21" s="4" t="s">
        <v>55</v>
      </c>
      <c r="C21" s="4" t="s">
        <v>63</v>
      </c>
      <c r="D21" s="4" t="s">
        <v>27</v>
      </c>
      <c r="E21" s="5" t="s">
        <v>23</v>
      </c>
      <c r="F21" s="4" t="s">
        <v>24</v>
      </c>
      <c r="G21" s="4" t="s">
        <v>38</v>
      </c>
      <c r="H21" s="4" t="s">
        <v>20</v>
      </c>
      <c r="I21" s="5" t="s">
        <v>21</v>
      </c>
      <c r="J21" s="6" t="n">
        <v>46356</v>
      </c>
      <c r="K21" s="7" t="n">
        <v>46386</v>
      </c>
      <c r="L21" s="5"/>
    </row>
    <row r="23" customFormat="false" ht="15" hidden="false" customHeight="false" outlineLevel="0" collapsed="false">
      <c r="A23" s="8" t="s">
        <v>64</v>
      </c>
    </row>
    <row r="24" customFormat="false" ht="23.85" hidden="false" customHeight="false" outlineLevel="0" collapsed="false">
      <c r="A24" s="9" t="n">
        <v>0</v>
      </c>
      <c r="B24" s="9" t="s">
        <v>14</v>
      </c>
      <c r="C24" s="9" t="s">
        <v>65</v>
      </c>
      <c r="D24" s="9" t="s">
        <v>16</v>
      </c>
      <c r="E24" s="9" t="s">
        <v>17</v>
      </c>
      <c r="F24" s="9" t="s">
        <v>18</v>
      </c>
      <c r="G24" s="9" t="s">
        <v>19</v>
      </c>
      <c r="H24" s="9" t="s">
        <v>20</v>
      </c>
      <c r="I24" s="9" t="s">
        <v>66</v>
      </c>
      <c r="J24" s="10" t="n">
        <v>46296</v>
      </c>
      <c r="K24" s="10" t="n">
        <v>46298</v>
      </c>
      <c r="L24" s="9" t="s">
        <v>67</v>
      </c>
    </row>
  </sheetData>
  <autoFilter ref="A4:L21"/>
  <mergeCells count="1">
    <mergeCell ref="A2:L2"/>
  </mergeCells>
  <conditionalFormatting sqref="I5:I21">
    <cfRule type="cellIs" priority="2" operator="equal" aboveAverage="0" equalAverage="0" bottom="0" percent="0" rank="0" text="" dxfId="4">
      <formula>"Klaar"</formula>
    </cfRule>
    <cfRule type="cellIs" priority="3" operator="equal" aboveAverage="0" equalAverage="0" bottom="0" percent="0" rank="0" text="" dxfId="5">
      <formula>"Bezig"</formula>
    </cfRule>
  </conditionalFormatting>
  <conditionalFormatting sqref="K5:K21">
    <cfRule type="expression" priority="4" aboveAverage="0" equalAverage="0" bottom="0" percent="0" rank="0" text="" dxfId="6">
      <formula>AND($K5&lt;TODAY(),$I5&lt;&gt;"Klaar",$I5&lt;&gt;"Niet van toepassing")</formula>
    </cfRule>
  </conditionalFormatting>
  <dataValidations count="2">
    <dataValidation allowBlank="true" errorStyle="stop" operator="between" showDropDown="false" showErrorMessage="false" showInputMessage="false" sqref="I5:I21" type="list">
      <formula1>"Open,Bezig,Klaar,Niet van toepassing"</formula1>
      <formula2>0</formula2>
    </dataValidation>
    <dataValidation allowBlank="true" errorStyle="stop" operator="between" showDropDown="false" showErrorMessage="false" showInputMessage="false" sqref="E5:E21" type="list">
      <formula1>"jij,Claude,samen"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8" t="s">
        <v>69</v>
      </c>
    </row>
    <row r="4" customFormat="false" ht="15" hidden="false" customHeight="false" outlineLevel="0" collapsed="false">
      <c r="A4" s="3" t="s">
        <v>10</v>
      </c>
      <c r="B4" s="3" t="s">
        <v>70</v>
      </c>
      <c r="C4" s="3" t="s">
        <v>71</v>
      </c>
    </row>
    <row r="5" customFormat="false" ht="15" hidden="false" customHeight="false" outlineLevel="0" collapsed="false">
      <c r="A5" s="11" t="s">
        <v>21</v>
      </c>
      <c r="B5" s="11" t="n">
        <f aca="false">COUNTIF(Actieplan!$I$5:$I$21,A5)</f>
        <v>17</v>
      </c>
      <c r="C5" s="12" t="n">
        <f aca="false">IF($B$9=0,0,B5/$B$9)</f>
        <v>1</v>
      </c>
    </row>
    <row r="6" customFormat="false" ht="15" hidden="false" customHeight="false" outlineLevel="0" collapsed="false">
      <c r="A6" s="11" t="s">
        <v>72</v>
      </c>
      <c r="B6" s="11" t="n">
        <f aca="false">COUNTIF(Actieplan!$I$5:$I$21,A6)</f>
        <v>0</v>
      </c>
      <c r="C6" s="12" t="n">
        <f aca="false">IF($B$9=0,0,B6/$B$9)</f>
        <v>0</v>
      </c>
    </row>
    <row r="7" customFormat="false" ht="15" hidden="false" customHeight="false" outlineLevel="0" collapsed="false">
      <c r="A7" s="11" t="s">
        <v>66</v>
      </c>
      <c r="B7" s="11" t="n">
        <f aca="false">COUNTIF(Actieplan!$I$5:$I$21,A7)</f>
        <v>0</v>
      </c>
      <c r="C7" s="12" t="n">
        <f aca="false">IF($B$9=0,0,B7/$B$9)</f>
        <v>0</v>
      </c>
    </row>
    <row r="8" customFormat="false" ht="15" hidden="false" customHeight="false" outlineLevel="0" collapsed="false">
      <c r="A8" s="11" t="s">
        <v>73</v>
      </c>
      <c r="B8" s="11" t="n">
        <f aca="false">COUNTIF(Actieplan!$I$5:$I$21,A8)</f>
        <v>0</v>
      </c>
      <c r="C8" s="12" t="n">
        <f aca="false">IF($B$9=0,0,B8/$B$9)</f>
        <v>0</v>
      </c>
    </row>
    <row r="9" customFormat="false" ht="15" hidden="false" customHeight="false" outlineLevel="0" collapsed="false">
      <c r="A9" s="13" t="s">
        <v>74</v>
      </c>
      <c r="B9" s="13" t="n">
        <f aca="false">COUNTA(Actieplan!$I$5:$I$21)</f>
        <v>17</v>
      </c>
      <c r="C9" s="14" t="n">
        <f aca="false">IF(B9=0,0,SUM(C5:C8))</f>
        <v>1</v>
      </c>
    </row>
    <row r="11" customFormat="false" ht="15" hidden="false" customHeight="false" outlineLevel="0" collapsed="false">
      <c r="A11" s="13" t="s">
        <v>75</v>
      </c>
      <c r="B11" s="13" t="n">
        <f aca="true">SUMPRODUCT((Actieplan!$K$5:$K$21&lt;TODAY())*(Actieplan!$I$5:$I$21&lt;&gt;"Klaar")*(Actieplan!$I$5:$I$21&lt;&gt;"Niet van toepassing"))</f>
        <v>0</v>
      </c>
    </row>
    <row r="13" customFormat="false" ht="15" hidden="false" customHeight="false" outlineLevel="0" collapsed="false">
      <c r="A13" s="3" t="s">
        <v>3</v>
      </c>
      <c r="B13" s="3" t="s">
        <v>76</v>
      </c>
      <c r="C13" s="3" t="s">
        <v>66</v>
      </c>
      <c r="D13" s="3" t="s">
        <v>77</v>
      </c>
    </row>
    <row r="14" customFormat="false" ht="15" hidden="false" customHeight="false" outlineLevel="0" collapsed="false">
      <c r="A14" s="11" t="s">
        <v>14</v>
      </c>
      <c r="B14" s="11" t="n">
        <f aca="false">COUNTIF(Actieplan!$B$5:$B$21,A14)</f>
        <v>7</v>
      </c>
      <c r="C14" s="11" t="n">
        <f aca="false">COUNTIFS(Actieplan!$B$5:$B$21,A14,Actieplan!$I$5:$I$21,"Klaar")</f>
        <v>0</v>
      </c>
      <c r="D14" s="12" t="n">
        <f aca="false">IF(B14=0,0,C14/B14)</f>
        <v>0</v>
      </c>
    </row>
    <row r="15" customFormat="false" ht="15" hidden="false" customHeight="false" outlineLevel="0" collapsed="false">
      <c r="A15" s="11" t="s">
        <v>40</v>
      </c>
      <c r="B15" s="11" t="n">
        <f aca="false">COUNTIF(Actieplan!$B$5:$B$21,A15)</f>
        <v>6</v>
      </c>
      <c r="C15" s="11" t="n">
        <f aca="false">COUNTIFS(Actieplan!$B$5:$B$21,A15,Actieplan!$I$5:$I$21,"Klaar")</f>
        <v>0</v>
      </c>
      <c r="D15" s="12" t="n">
        <f aca="false">IF(B15=0,0,C15/B15)</f>
        <v>0</v>
      </c>
    </row>
    <row r="16" customFormat="false" ht="15" hidden="false" customHeight="false" outlineLevel="0" collapsed="false">
      <c r="A16" s="11" t="s">
        <v>55</v>
      </c>
      <c r="B16" s="11" t="n">
        <f aca="false">COUNTIF(Actieplan!$B$5:$B$21,A16)</f>
        <v>4</v>
      </c>
      <c r="C16" s="11" t="n">
        <f aca="false">COUNTIFS(Actieplan!$B$5:$B$21,A16,Actieplan!$I$5:$I$21,"Klaar")</f>
        <v>0</v>
      </c>
      <c r="D16" s="12" t="n">
        <f aca="false">IF(B16=0,0,C16/B16)</f>
        <v>0</v>
      </c>
    </row>
    <row r="18" customFormat="false" ht="15" hidden="false" customHeight="false" outlineLevel="0" collapsed="false">
      <c r="A18" s="3" t="s">
        <v>6</v>
      </c>
      <c r="B18" s="3" t="s">
        <v>76</v>
      </c>
      <c r="C18" s="3" t="s">
        <v>66</v>
      </c>
      <c r="D18" s="3" t="s">
        <v>77</v>
      </c>
    </row>
    <row r="19" customFormat="false" ht="15" hidden="false" customHeight="false" outlineLevel="0" collapsed="false">
      <c r="A19" s="11" t="s">
        <v>17</v>
      </c>
      <c r="B19" s="11" t="n">
        <f aca="false">COUNTIF(Actieplan!$E$5:$E$21,A19)</f>
        <v>6</v>
      </c>
      <c r="C19" s="11" t="n">
        <f aca="false">COUNTIFS(Actieplan!$E$5:$E$21,A19,Actieplan!$I$5:$I$21,"Klaar")</f>
        <v>0</v>
      </c>
      <c r="D19" s="12" t="n">
        <f aca="false">IF(B19=0,0,C19/B19)</f>
        <v>0</v>
      </c>
    </row>
    <row r="20" customFormat="false" ht="15" hidden="false" customHeight="false" outlineLevel="0" collapsed="false">
      <c r="A20" s="11" t="s">
        <v>30</v>
      </c>
      <c r="B20" s="11" t="n">
        <f aca="false">COUNTIF(Actieplan!$E$5:$E$21,A20)</f>
        <v>4</v>
      </c>
      <c r="C20" s="11" t="n">
        <f aca="false">COUNTIFS(Actieplan!$E$5:$E$21,A20,Actieplan!$I$5:$I$21,"Klaar")</f>
        <v>0</v>
      </c>
      <c r="D20" s="12" t="n">
        <f aca="false">IF(B20=0,0,C20/B20)</f>
        <v>0</v>
      </c>
    </row>
    <row r="21" customFormat="false" ht="15" hidden="false" customHeight="false" outlineLevel="0" collapsed="false">
      <c r="A21" s="11" t="s">
        <v>23</v>
      </c>
      <c r="B21" s="11" t="n">
        <f aca="false">COUNTIF(Actieplan!$E$5:$E$21,A21)</f>
        <v>7</v>
      </c>
      <c r="C21" s="11" t="n">
        <f aca="false">COUNTIFS(Actieplan!$E$5:$E$21,A21,Actieplan!$I$5:$I$21,"Klaar")</f>
        <v>0</v>
      </c>
      <c r="D21" s="12" t="n">
        <f aca="false">IF(B21=0,0,C21/B21)</f>
        <v>0</v>
      </c>
    </row>
    <row r="23" customFormat="false" ht="15" hidden="false" customHeight="false" outlineLevel="0" collapsed="false">
      <c r="A23" s="3" t="s">
        <v>5</v>
      </c>
      <c r="B23" s="3" t="s">
        <v>76</v>
      </c>
      <c r="C23" s="3" t="s">
        <v>66</v>
      </c>
      <c r="D23" s="3" t="s">
        <v>77</v>
      </c>
    </row>
    <row r="24" customFormat="false" ht="15" hidden="false" customHeight="false" outlineLevel="0" collapsed="false">
      <c r="A24" s="11" t="s">
        <v>16</v>
      </c>
      <c r="B24" s="11" t="n">
        <f aca="false">COUNTIF(Actieplan!$D$5:$D$21,A24)</f>
        <v>2</v>
      </c>
      <c r="C24" s="11" t="n">
        <f aca="false">COUNTIFS(Actieplan!$D$5:$D$21,A24,Actieplan!$I$5:$I$21,"Klaar")</f>
        <v>0</v>
      </c>
      <c r="D24" s="12" t="n">
        <f aca="false">IF(B24=0,0,C24/B24)</f>
        <v>0</v>
      </c>
    </row>
    <row r="25" customFormat="false" ht="15" hidden="false" customHeight="false" outlineLevel="0" collapsed="false">
      <c r="A25" s="11" t="s">
        <v>29</v>
      </c>
      <c r="B25" s="11" t="n">
        <f aca="false">COUNTIF(Actieplan!$D$5:$D$21,A25)</f>
        <v>4</v>
      </c>
      <c r="C25" s="11" t="n">
        <f aca="false">COUNTIFS(Actieplan!$D$5:$D$21,A25,Actieplan!$I$5:$I$21,"Klaar")</f>
        <v>0</v>
      </c>
      <c r="D25" s="12" t="n">
        <f aca="false">IF(B25=0,0,C25/B25)</f>
        <v>0</v>
      </c>
    </row>
    <row r="26" customFormat="false" ht="15" hidden="false" customHeight="false" outlineLevel="0" collapsed="false">
      <c r="A26" s="11" t="s">
        <v>36</v>
      </c>
      <c r="B26" s="11" t="n">
        <f aca="false">COUNTIF(Actieplan!$D$5:$D$21,A26)</f>
        <v>8</v>
      </c>
      <c r="C26" s="11" t="n">
        <f aca="false">COUNTIFS(Actieplan!$D$5:$D$21,A26,Actieplan!$I$5:$I$21,"Klaar")</f>
        <v>0</v>
      </c>
      <c r="D26" s="12" t="n">
        <f aca="false">IF(B26=0,0,C26/B26)</f>
        <v>0</v>
      </c>
    </row>
    <row r="27" customFormat="false" ht="15" hidden="false" customHeight="false" outlineLevel="0" collapsed="false">
      <c r="A27" s="11" t="s">
        <v>27</v>
      </c>
      <c r="B27" s="11" t="n">
        <f aca="false">COUNTIF(Actieplan!$D$5:$D$21,A27)</f>
        <v>3</v>
      </c>
      <c r="C27" s="11" t="n">
        <f aca="false">COUNTIFS(Actieplan!$D$5:$D$21,A27,Actieplan!$I$5:$I$21,"Klaar")</f>
        <v>0</v>
      </c>
      <c r="D27" s="12" t="n">
        <f aca="false">IF(B27=0,0,C27/B27)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5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78</v>
      </c>
    </row>
    <row r="2" customFormat="false" ht="30" hidden="false" customHeight="true" outlineLevel="0" collapsed="false">
      <c r="A2" s="2" t="s">
        <v>79</v>
      </c>
      <c r="B2" s="2"/>
      <c r="C2" s="2"/>
      <c r="D2" s="2"/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</row>
    <row r="6" customFormat="false" ht="15" hidden="false" customHeight="false" outlineLevel="0" collapsed="false">
      <c r="A6" s="4" t="s">
        <v>88</v>
      </c>
      <c r="B6" s="4" t="s">
        <v>85</v>
      </c>
      <c r="C6" s="4" t="s">
        <v>89</v>
      </c>
      <c r="D6" s="4" t="s">
        <v>90</v>
      </c>
    </row>
    <row r="7" customFormat="false" ht="15" hidden="false" customHeight="false" outlineLevel="0" collapsed="false">
      <c r="A7" s="4" t="s">
        <v>91</v>
      </c>
      <c r="B7" s="4" t="s">
        <v>85</v>
      </c>
      <c r="C7" s="4" t="s">
        <v>92</v>
      </c>
      <c r="D7" s="4" t="s">
        <v>90</v>
      </c>
    </row>
    <row r="8" customFormat="false" ht="15" hidden="false" customHeight="false" outlineLevel="0" collapsed="false">
      <c r="A8" s="4" t="s">
        <v>93</v>
      </c>
      <c r="B8" s="4" t="s">
        <v>85</v>
      </c>
      <c r="C8" s="4" t="s">
        <v>94</v>
      </c>
      <c r="D8" s="4" t="s">
        <v>95</v>
      </c>
    </row>
    <row r="9" customFormat="false" ht="15" hidden="false" customHeight="false" outlineLevel="0" collapsed="false">
      <c r="A9" s="4" t="s">
        <v>96</v>
      </c>
      <c r="B9" s="4" t="s">
        <v>85</v>
      </c>
      <c r="C9" s="4" t="s">
        <v>97</v>
      </c>
      <c r="D9" s="4" t="s">
        <v>95</v>
      </c>
    </row>
    <row r="10" customFormat="false" ht="15" hidden="false" customHeight="false" outlineLevel="0" collapsed="false">
      <c r="A10" s="4" t="s">
        <v>98</v>
      </c>
      <c r="B10" s="4" t="s">
        <v>85</v>
      </c>
      <c r="C10" s="4" t="s">
        <v>99</v>
      </c>
      <c r="D10" s="4" t="s">
        <v>100</v>
      </c>
    </row>
    <row r="11" customFormat="false" ht="15" hidden="false" customHeight="false" outlineLevel="0" collapsed="false">
      <c r="A11" s="4" t="s">
        <v>101</v>
      </c>
      <c r="B11" s="4" t="s">
        <v>85</v>
      </c>
      <c r="C11" s="4" t="s">
        <v>102</v>
      </c>
      <c r="D11" s="4" t="s">
        <v>103</v>
      </c>
    </row>
    <row r="12" customFormat="false" ht="15" hidden="false" customHeight="false" outlineLevel="0" collapsed="false">
      <c r="A12" s="4" t="s">
        <v>104</v>
      </c>
      <c r="B12" s="4" t="s">
        <v>85</v>
      </c>
      <c r="C12" s="4" t="s">
        <v>105</v>
      </c>
      <c r="D12" s="4" t="s">
        <v>106</v>
      </c>
    </row>
    <row r="13" customFormat="false" ht="23.85" hidden="false" customHeight="false" outlineLevel="0" collapsed="false">
      <c r="A13" s="4" t="s">
        <v>107</v>
      </c>
      <c r="B13" s="4" t="s">
        <v>85</v>
      </c>
      <c r="C13" s="4" t="s">
        <v>108</v>
      </c>
      <c r="D13" s="4" t="s">
        <v>95</v>
      </c>
    </row>
    <row r="14" customFormat="false" ht="15" hidden="false" customHeight="false" outlineLevel="0" collapsed="false">
      <c r="A14" s="4" t="s">
        <v>109</v>
      </c>
      <c r="B14" s="4" t="s">
        <v>85</v>
      </c>
      <c r="C14" s="4" t="s">
        <v>110</v>
      </c>
      <c r="D14" s="4" t="s">
        <v>111</v>
      </c>
    </row>
    <row r="15" customFormat="false" ht="15" hidden="false" customHeight="false" outlineLevel="0" collapsed="false">
      <c r="A15" s="4" t="s">
        <v>112</v>
      </c>
      <c r="B15" s="4" t="s">
        <v>113</v>
      </c>
      <c r="C15" s="4" t="s">
        <v>114</v>
      </c>
      <c r="D15" s="4" t="s">
        <v>115</v>
      </c>
    </row>
    <row r="16" customFormat="false" ht="15" hidden="false" customHeight="false" outlineLevel="0" collapsed="false">
      <c r="A16" s="4" t="s">
        <v>116</v>
      </c>
      <c r="B16" s="4" t="s">
        <v>113</v>
      </c>
      <c r="C16" s="4" t="s">
        <v>117</v>
      </c>
      <c r="D16" s="4" t="s">
        <v>95</v>
      </c>
    </row>
    <row r="17" customFormat="false" ht="15" hidden="false" customHeight="false" outlineLevel="0" collapsed="false">
      <c r="A17" s="4" t="s">
        <v>118</v>
      </c>
      <c r="B17" s="4" t="s">
        <v>113</v>
      </c>
      <c r="C17" s="4" t="s">
        <v>119</v>
      </c>
      <c r="D17" s="4" t="s">
        <v>95</v>
      </c>
    </row>
    <row r="18" customFormat="false" ht="23.85" hidden="false" customHeight="false" outlineLevel="0" collapsed="false">
      <c r="A18" s="4" t="s">
        <v>120</v>
      </c>
      <c r="B18" s="4" t="s">
        <v>113</v>
      </c>
      <c r="C18" s="4" t="s">
        <v>121</v>
      </c>
      <c r="D18" s="4" t="s">
        <v>122</v>
      </c>
    </row>
    <row r="19" customFormat="false" ht="15" hidden="false" customHeight="false" outlineLevel="0" collapsed="false">
      <c r="A19" s="4" t="s">
        <v>123</v>
      </c>
      <c r="B19" s="4" t="s">
        <v>113</v>
      </c>
      <c r="C19" s="4" t="s">
        <v>124</v>
      </c>
      <c r="D19" s="4" t="s">
        <v>103</v>
      </c>
    </row>
    <row r="20" customFormat="false" ht="15" hidden="false" customHeight="false" outlineLevel="0" collapsed="false">
      <c r="A20" s="4" t="s">
        <v>125</v>
      </c>
      <c r="B20" s="4" t="s">
        <v>113</v>
      </c>
      <c r="C20" s="4" t="s">
        <v>126</v>
      </c>
      <c r="D20" s="4" t="s">
        <v>95</v>
      </c>
    </row>
    <row r="21" customFormat="false" ht="15" hidden="false" customHeight="false" outlineLevel="0" collapsed="false">
      <c r="A21" s="4" t="s">
        <v>127</v>
      </c>
      <c r="B21" s="4" t="s">
        <v>113</v>
      </c>
      <c r="C21" s="4" t="s">
        <v>128</v>
      </c>
      <c r="D21" s="4" t="s">
        <v>100</v>
      </c>
    </row>
    <row r="22" customFormat="false" ht="15" hidden="false" customHeight="false" outlineLevel="0" collapsed="false">
      <c r="A22" s="4" t="s">
        <v>129</v>
      </c>
      <c r="B22" s="4" t="s">
        <v>113</v>
      </c>
      <c r="C22" s="4" t="s">
        <v>130</v>
      </c>
      <c r="D22" s="4" t="s">
        <v>111</v>
      </c>
    </row>
    <row r="23" customFormat="false" ht="15" hidden="false" customHeight="false" outlineLevel="0" collapsed="false">
      <c r="A23" s="4" t="s">
        <v>131</v>
      </c>
      <c r="B23" s="4" t="s">
        <v>113</v>
      </c>
      <c r="C23" s="4" t="s">
        <v>132</v>
      </c>
      <c r="D23" s="4" t="s">
        <v>133</v>
      </c>
    </row>
    <row r="24" customFormat="false" ht="15" hidden="false" customHeight="false" outlineLevel="0" collapsed="false">
      <c r="A24" s="4" t="s">
        <v>134</v>
      </c>
      <c r="B24" s="4" t="s">
        <v>113</v>
      </c>
      <c r="C24" s="4" t="s">
        <v>135</v>
      </c>
      <c r="D24" s="4" t="s">
        <v>136</v>
      </c>
    </row>
    <row r="25" customFormat="false" ht="15" hidden="false" customHeight="false" outlineLevel="0" collapsed="false">
      <c r="A25" s="15"/>
      <c r="B25" s="15"/>
      <c r="C25" s="15"/>
      <c r="D25" s="15"/>
    </row>
    <row r="26" customFormat="false" ht="15" hidden="false" customHeight="false" outlineLevel="0" collapsed="false">
      <c r="A26" s="15"/>
      <c r="B26" s="15"/>
      <c r="C26" s="15"/>
      <c r="D26" s="15"/>
    </row>
    <row r="27" customFormat="false" ht="15" hidden="false" customHeight="false" outlineLevel="0" collapsed="false">
      <c r="A27" s="15"/>
      <c r="B27" s="15"/>
      <c r="C27" s="15"/>
      <c r="D27" s="15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30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137</v>
      </c>
    </row>
    <row r="2" customFormat="false" ht="30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3" t="s">
        <v>139</v>
      </c>
      <c r="B4" s="3" t="s">
        <v>140</v>
      </c>
      <c r="C4" s="3" t="s">
        <v>141</v>
      </c>
      <c r="D4" s="3" t="s">
        <v>142</v>
      </c>
      <c r="E4" s="3" t="s">
        <v>143</v>
      </c>
      <c r="F4" s="3" t="s">
        <v>144</v>
      </c>
      <c r="G4" s="3" t="s">
        <v>145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150</v>
      </c>
      <c r="M4" s="3" t="s">
        <v>151</v>
      </c>
    </row>
    <row r="5" customFormat="false" ht="23.85" hidden="false" customHeight="false" outlineLevel="0" collapsed="false">
      <c r="A5" s="10" t="n">
        <v>46303</v>
      </c>
      <c r="B5" s="9" t="s">
        <v>152</v>
      </c>
      <c r="C5" s="9" t="s">
        <v>153</v>
      </c>
      <c r="D5" s="9" t="s">
        <v>88</v>
      </c>
      <c r="E5" s="9" t="s">
        <v>154</v>
      </c>
      <c r="F5" s="9" t="n">
        <v>1</v>
      </c>
      <c r="G5" s="9" t="s">
        <v>155</v>
      </c>
      <c r="H5" s="9" t="n">
        <f aca="false">IF(G5="ja",1,IF(G5="nee",0,""))</f>
        <v>0</v>
      </c>
      <c r="I5" s="9"/>
      <c r="J5" s="9" t="s">
        <v>155</v>
      </c>
      <c r="K5" s="9" t="n">
        <f aca="false">IF(J5="ja",1,IF(J5="nee",0,""))</f>
        <v>0</v>
      </c>
      <c r="L5" s="9" t="s">
        <v>156</v>
      </c>
      <c r="M5" s="9" t="s">
        <v>157</v>
      </c>
    </row>
    <row r="6" customFormat="false" ht="15" hidden="false" customHeight="false" outlineLevel="0" collapsed="false">
      <c r="A6" s="16"/>
      <c r="B6" s="17"/>
      <c r="C6" s="17"/>
      <c r="D6" s="17"/>
      <c r="E6" s="17"/>
      <c r="F6" s="17"/>
      <c r="G6" s="17"/>
      <c r="H6" s="11" t="str">
        <f aca="false">IF(G6="ja",1,IF(G6="nee",0,""))</f>
        <v/>
      </c>
      <c r="I6" s="17"/>
      <c r="J6" s="17"/>
      <c r="K6" s="11" t="str">
        <f aca="false">IF(J6="ja",1,IF(J6="nee",0,""))</f>
        <v/>
      </c>
      <c r="L6" s="17"/>
      <c r="M6" s="17"/>
    </row>
    <row r="7" customFormat="false" ht="15" hidden="false" customHeight="false" outlineLevel="0" collapsed="false">
      <c r="A7" s="16"/>
      <c r="B7" s="17"/>
      <c r="C7" s="17"/>
      <c r="D7" s="17"/>
      <c r="E7" s="17"/>
      <c r="F7" s="17"/>
      <c r="G7" s="17"/>
      <c r="H7" s="11" t="str">
        <f aca="false">IF(G7="ja",1,IF(G7="nee",0,""))</f>
        <v/>
      </c>
      <c r="I7" s="17"/>
      <c r="J7" s="17"/>
      <c r="K7" s="11" t="str">
        <f aca="false">IF(J7="ja",1,IF(J7="nee",0,""))</f>
        <v/>
      </c>
      <c r="L7" s="17"/>
      <c r="M7" s="17"/>
    </row>
    <row r="8" customFormat="false" ht="15" hidden="false" customHeight="false" outlineLevel="0" collapsed="false">
      <c r="A8" s="16"/>
      <c r="B8" s="17"/>
      <c r="C8" s="17"/>
      <c r="D8" s="17"/>
      <c r="E8" s="17"/>
      <c r="F8" s="17"/>
      <c r="G8" s="17"/>
      <c r="H8" s="11" t="str">
        <f aca="false">IF(G8="ja",1,IF(G8="nee",0,""))</f>
        <v/>
      </c>
      <c r="I8" s="17"/>
      <c r="J8" s="17"/>
      <c r="K8" s="11" t="str">
        <f aca="false">IF(J8="ja",1,IF(J8="nee",0,""))</f>
        <v/>
      </c>
      <c r="L8" s="17"/>
      <c r="M8" s="17"/>
    </row>
    <row r="9" customFormat="false" ht="15" hidden="false" customHeight="false" outlineLevel="0" collapsed="false">
      <c r="A9" s="16"/>
      <c r="B9" s="17"/>
      <c r="C9" s="17"/>
      <c r="D9" s="17"/>
      <c r="E9" s="17"/>
      <c r="F9" s="17"/>
      <c r="G9" s="17"/>
      <c r="H9" s="11" t="str">
        <f aca="false">IF(G9="ja",1,IF(G9="nee",0,""))</f>
        <v/>
      </c>
      <c r="I9" s="17"/>
      <c r="J9" s="17"/>
      <c r="K9" s="11" t="str">
        <f aca="false">IF(J9="ja",1,IF(J9="nee",0,""))</f>
        <v/>
      </c>
      <c r="L9" s="17"/>
      <c r="M9" s="17"/>
    </row>
    <row r="10" customFormat="false" ht="15" hidden="false" customHeight="false" outlineLevel="0" collapsed="false">
      <c r="A10" s="16"/>
      <c r="B10" s="17"/>
      <c r="C10" s="17"/>
      <c r="D10" s="17"/>
      <c r="E10" s="17"/>
      <c r="F10" s="17"/>
      <c r="G10" s="17"/>
      <c r="H10" s="11" t="str">
        <f aca="false">IF(G10="ja",1,IF(G10="nee",0,""))</f>
        <v/>
      </c>
      <c r="I10" s="17"/>
      <c r="J10" s="17"/>
      <c r="K10" s="11" t="str">
        <f aca="false">IF(J10="ja",1,IF(J10="nee",0,""))</f>
        <v/>
      </c>
      <c r="L10" s="17"/>
      <c r="M10" s="17"/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7"/>
      <c r="G11" s="17"/>
      <c r="H11" s="11" t="str">
        <f aca="false">IF(G11="ja",1,IF(G11="nee",0,""))</f>
        <v/>
      </c>
      <c r="I11" s="17"/>
      <c r="J11" s="17"/>
      <c r="K11" s="11" t="str">
        <f aca="false">IF(J11="ja",1,IF(J11="nee",0,""))</f>
        <v/>
      </c>
      <c r="L11" s="17"/>
      <c r="M11" s="17"/>
    </row>
    <row r="12" customFormat="false" ht="15" hidden="false" customHeight="false" outlineLevel="0" collapsed="false">
      <c r="A12" s="16"/>
      <c r="B12" s="17"/>
      <c r="C12" s="17"/>
      <c r="D12" s="17"/>
      <c r="E12" s="17"/>
      <c r="F12" s="17"/>
      <c r="G12" s="17"/>
      <c r="H12" s="11" t="str">
        <f aca="false">IF(G12="ja",1,IF(G12="nee",0,""))</f>
        <v/>
      </c>
      <c r="I12" s="17"/>
      <c r="J12" s="17"/>
      <c r="K12" s="11" t="str">
        <f aca="false">IF(J12="ja",1,IF(J12="nee",0,""))</f>
        <v/>
      </c>
      <c r="L12" s="17"/>
      <c r="M12" s="17"/>
    </row>
    <row r="13" customFormat="false" ht="15" hidden="false" customHeight="false" outlineLevel="0" collapsed="false">
      <c r="A13" s="16"/>
      <c r="B13" s="17"/>
      <c r="C13" s="17"/>
      <c r="D13" s="17"/>
      <c r="E13" s="17"/>
      <c r="F13" s="17"/>
      <c r="G13" s="17"/>
      <c r="H13" s="11" t="str">
        <f aca="false">IF(G13="ja",1,IF(G13="nee",0,""))</f>
        <v/>
      </c>
      <c r="I13" s="17"/>
      <c r="J13" s="17"/>
      <c r="K13" s="11" t="str">
        <f aca="false">IF(J13="ja",1,IF(J13="nee",0,""))</f>
        <v/>
      </c>
      <c r="L13" s="17"/>
      <c r="M13" s="17"/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7"/>
      <c r="G14" s="17"/>
      <c r="H14" s="11" t="str">
        <f aca="false">IF(G14="ja",1,IF(G14="nee",0,""))</f>
        <v/>
      </c>
      <c r="I14" s="17"/>
      <c r="J14" s="17"/>
      <c r="K14" s="11" t="str">
        <f aca="false">IF(J14="ja",1,IF(J14="nee",0,""))</f>
        <v/>
      </c>
      <c r="L14" s="17"/>
      <c r="M14" s="17"/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  <c r="G15" s="17"/>
      <c r="H15" s="11" t="str">
        <f aca="false">IF(G15="ja",1,IF(G15="nee",0,""))</f>
        <v/>
      </c>
      <c r="I15" s="17"/>
      <c r="J15" s="17"/>
      <c r="K15" s="11" t="str">
        <f aca="false">IF(J15="ja",1,IF(J15="nee",0,""))</f>
        <v/>
      </c>
      <c r="L15" s="17"/>
      <c r="M15" s="17"/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7"/>
      <c r="H16" s="11" t="str">
        <f aca="false">IF(G16="ja",1,IF(G16="nee",0,""))</f>
        <v/>
      </c>
      <c r="I16" s="17"/>
      <c r="J16" s="17"/>
      <c r="K16" s="11" t="str">
        <f aca="false">IF(J16="ja",1,IF(J16="nee",0,""))</f>
        <v/>
      </c>
      <c r="L16" s="17"/>
      <c r="M16" s="17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7"/>
      <c r="H17" s="11" t="str">
        <f aca="false">IF(G17="ja",1,IF(G17="nee",0,""))</f>
        <v/>
      </c>
      <c r="I17" s="17"/>
      <c r="J17" s="17"/>
      <c r="K17" s="11" t="str">
        <f aca="false">IF(J17="ja",1,IF(J17="nee",0,""))</f>
        <v/>
      </c>
      <c r="L17" s="17"/>
      <c r="M17" s="17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7"/>
      <c r="H18" s="11" t="str">
        <f aca="false">IF(G18="ja",1,IF(G18="nee",0,""))</f>
        <v/>
      </c>
      <c r="I18" s="17"/>
      <c r="J18" s="17"/>
      <c r="K18" s="11" t="str">
        <f aca="false">IF(J18="ja",1,IF(J18="nee",0,""))</f>
        <v/>
      </c>
      <c r="L18" s="17"/>
      <c r="M18" s="17"/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7"/>
      <c r="G19" s="17"/>
      <c r="H19" s="11" t="str">
        <f aca="false">IF(G19="ja",1,IF(G19="nee",0,""))</f>
        <v/>
      </c>
      <c r="I19" s="17"/>
      <c r="J19" s="17"/>
      <c r="K19" s="11" t="str">
        <f aca="false">IF(J19="ja",1,IF(J19="nee",0,""))</f>
        <v/>
      </c>
      <c r="L19" s="17"/>
      <c r="M19" s="17"/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7"/>
      <c r="G20" s="17"/>
      <c r="H20" s="11" t="str">
        <f aca="false">IF(G20="ja",1,IF(G20="nee",0,""))</f>
        <v/>
      </c>
      <c r="I20" s="17"/>
      <c r="J20" s="17"/>
      <c r="K20" s="11" t="str">
        <f aca="false">IF(J20="ja",1,IF(J20="nee",0,""))</f>
        <v/>
      </c>
      <c r="L20" s="17"/>
      <c r="M20" s="17"/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  <c r="G21" s="17"/>
      <c r="H21" s="11" t="str">
        <f aca="false">IF(G21="ja",1,IF(G21="nee",0,""))</f>
        <v/>
      </c>
      <c r="I21" s="17"/>
      <c r="J21" s="17"/>
      <c r="K21" s="11" t="str">
        <f aca="false">IF(J21="ja",1,IF(J21="nee",0,""))</f>
        <v/>
      </c>
      <c r="L21" s="17"/>
      <c r="M21" s="17"/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7"/>
      <c r="G22" s="17"/>
      <c r="H22" s="11" t="str">
        <f aca="false">IF(G22="ja",1,IF(G22="nee",0,""))</f>
        <v/>
      </c>
      <c r="I22" s="17"/>
      <c r="J22" s="17"/>
      <c r="K22" s="11" t="str">
        <f aca="false">IF(J22="ja",1,IF(J22="nee",0,""))</f>
        <v/>
      </c>
      <c r="L22" s="17"/>
      <c r="M22" s="17"/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7"/>
      <c r="G23" s="17"/>
      <c r="H23" s="11" t="str">
        <f aca="false">IF(G23="ja",1,IF(G23="nee",0,""))</f>
        <v/>
      </c>
      <c r="I23" s="17"/>
      <c r="J23" s="17"/>
      <c r="K23" s="11" t="str">
        <f aca="false">IF(J23="ja",1,IF(J23="nee",0,""))</f>
        <v/>
      </c>
      <c r="L23" s="17"/>
      <c r="M23" s="17"/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7"/>
      <c r="G24" s="17"/>
      <c r="H24" s="11" t="str">
        <f aca="false">IF(G24="ja",1,IF(G24="nee",0,""))</f>
        <v/>
      </c>
      <c r="I24" s="17"/>
      <c r="J24" s="17"/>
      <c r="K24" s="11" t="str">
        <f aca="false">IF(J24="ja",1,IF(J24="nee",0,""))</f>
        <v/>
      </c>
      <c r="L24" s="17"/>
      <c r="M24" s="17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7"/>
      <c r="H25" s="11" t="str">
        <f aca="false">IF(G25="ja",1,IF(G25="nee",0,""))</f>
        <v/>
      </c>
      <c r="I25" s="17"/>
      <c r="J25" s="17"/>
      <c r="K25" s="11" t="str">
        <f aca="false">IF(J25="ja",1,IF(J25="nee",0,""))</f>
        <v/>
      </c>
      <c r="L25" s="17"/>
      <c r="M25" s="17"/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7"/>
      <c r="H26" s="11" t="str">
        <f aca="false">IF(G26="ja",1,IF(G26="nee",0,""))</f>
        <v/>
      </c>
      <c r="I26" s="17"/>
      <c r="J26" s="17"/>
      <c r="K26" s="11" t="str">
        <f aca="false">IF(J26="ja",1,IF(J26="nee",0,""))</f>
        <v/>
      </c>
      <c r="L26" s="17"/>
      <c r="M26" s="17"/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7"/>
      <c r="H27" s="11" t="str">
        <f aca="false">IF(G27="ja",1,IF(G27="nee",0,""))</f>
        <v/>
      </c>
      <c r="I27" s="17"/>
      <c r="J27" s="17"/>
      <c r="K27" s="11" t="str">
        <f aca="false">IF(J27="ja",1,IF(J27="nee",0,""))</f>
        <v/>
      </c>
      <c r="L27" s="17"/>
      <c r="M27" s="17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7"/>
      <c r="H28" s="11" t="str">
        <f aca="false">IF(G28="ja",1,IF(G28="nee",0,""))</f>
        <v/>
      </c>
      <c r="I28" s="17"/>
      <c r="J28" s="17"/>
      <c r="K28" s="11" t="str">
        <f aca="false">IF(J28="ja",1,IF(J28="nee",0,""))</f>
        <v/>
      </c>
      <c r="L28" s="17"/>
      <c r="M28" s="17"/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7"/>
      <c r="H29" s="11" t="str">
        <f aca="false">IF(G29="ja",1,IF(G29="nee",0,""))</f>
        <v/>
      </c>
      <c r="I29" s="17"/>
      <c r="J29" s="17"/>
      <c r="K29" s="11" t="str">
        <f aca="false">IF(J29="ja",1,IF(J29="nee",0,""))</f>
        <v/>
      </c>
      <c r="L29" s="17"/>
      <c r="M29" s="17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7"/>
      <c r="H30" s="11" t="str">
        <f aca="false">IF(G30="ja",1,IF(G30="nee",0,""))</f>
        <v/>
      </c>
      <c r="I30" s="17"/>
      <c r="J30" s="17"/>
      <c r="K30" s="11" t="str">
        <f aca="false">IF(J30="ja",1,IF(J30="nee",0,""))</f>
        <v/>
      </c>
      <c r="L30" s="17"/>
      <c r="M30" s="17"/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7"/>
      <c r="H31" s="11" t="str">
        <f aca="false">IF(G31="ja",1,IF(G31="nee",0,""))</f>
        <v/>
      </c>
      <c r="I31" s="17"/>
      <c r="J31" s="17"/>
      <c r="K31" s="11" t="str">
        <f aca="false">IF(J31="ja",1,IF(J31="nee",0,""))</f>
        <v/>
      </c>
      <c r="L31" s="17"/>
      <c r="M31" s="17"/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7"/>
      <c r="H32" s="11" t="str">
        <f aca="false">IF(G32="ja",1,IF(G32="nee",0,""))</f>
        <v/>
      </c>
      <c r="I32" s="17"/>
      <c r="J32" s="17"/>
      <c r="K32" s="11" t="str">
        <f aca="false">IF(J32="ja",1,IF(J32="nee",0,""))</f>
        <v/>
      </c>
      <c r="L32" s="17"/>
      <c r="M32" s="17"/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7"/>
      <c r="H33" s="11" t="str">
        <f aca="false">IF(G33="ja",1,IF(G33="nee",0,""))</f>
        <v/>
      </c>
      <c r="I33" s="17"/>
      <c r="J33" s="17"/>
      <c r="K33" s="11" t="str">
        <f aca="false">IF(J33="ja",1,IF(J33="nee",0,""))</f>
        <v/>
      </c>
      <c r="L33" s="17"/>
      <c r="M33" s="17"/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7"/>
      <c r="H34" s="11" t="str">
        <f aca="false">IF(G34="ja",1,IF(G34="nee",0,""))</f>
        <v/>
      </c>
      <c r="I34" s="17"/>
      <c r="J34" s="17"/>
      <c r="K34" s="11" t="str">
        <f aca="false">IF(J34="ja",1,IF(J34="nee",0,""))</f>
        <v/>
      </c>
      <c r="L34" s="17"/>
      <c r="M34" s="17"/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7"/>
      <c r="H35" s="11" t="str">
        <f aca="false">IF(G35="ja",1,IF(G35="nee",0,""))</f>
        <v/>
      </c>
      <c r="I35" s="17"/>
      <c r="J35" s="17"/>
      <c r="K35" s="11" t="str">
        <f aca="false">IF(J35="ja",1,IF(J35="nee",0,""))</f>
        <v/>
      </c>
      <c r="L35" s="17"/>
      <c r="M35" s="17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7"/>
      <c r="H36" s="11" t="str">
        <f aca="false">IF(G36="ja",1,IF(G36="nee",0,""))</f>
        <v/>
      </c>
      <c r="I36" s="17"/>
      <c r="J36" s="17"/>
      <c r="K36" s="11" t="str">
        <f aca="false">IF(J36="ja",1,IF(J36="nee",0,""))</f>
        <v/>
      </c>
      <c r="L36" s="17"/>
      <c r="M36" s="17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7"/>
      <c r="H37" s="11" t="str">
        <f aca="false">IF(G37="ja",1,IF(G37="nee",0,""))</f>
        <v/>
      </c>
      <c r="I37" s="17"/>
      <c r="J37" s="17"/>
      <c r="K37" s="11" t="str">
        <f aca="false">IF(J37="ja",1,IF(J37="nee",0,""))</f>
        <v/>
      </c>
      <c r="L37" s="17"/>
      <c r="M37" s="17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1" t="str">
        <f aca="false">IF(G38="ja",1,IF(G38="nee",0,""))</f>
        <v/>
      </c>
      <c r="I38" s="17"/>
      <c r="J38" s="17"/>
      <c r="K38" s="11" t="str">
        <f aca="false">IF(J38="ja",1,IF(J38="nee",0,""))</f>
        <v/>
      </c>
      <c r="L38" s="17"/>
      <c r="M38" s="17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7"/>
      <c r="H39" s="11" t="str">
        <f aca="false">IF(G39="ja",1,IF(G39="nee",0,""))</f>
        <v/>
      </c>
      <c r="I39" s="17"/>
      <c r="J39" s="17"/>
      <c r="K39" s="11" t="str">
        <f aca="false">IF(J39="ja",1,IF(J39="nee",0,""))</f>
        <v/>
      </c>
      <c r="L39" s="17"/>
      <c r="M39" s="17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7"/>
      <c r="H40" s="11" t="str">
        <f aca="false">IF(G40="ja",1,IF(G40="nee",0,""))</f>
        <v/>
      </c>
      <c r="I40" s="17"/>
      <c r="J40" s="17"/>
      <c r="K40" s="11" t="str">
        <f aca="false">IF(J40="ja",1,IF(J40="nee",0,""))</f>
        <v/>
      </c>
      <c r="L40" s="17"/>
      <c r="M40" s="17"/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7"/>
      <c r="H41" s="11" t="str">
        <f aca="false">IF(G41="ja",1,IF(G41="nee",0,""))</f>
        <v/>
      </c>
      <c r="I41" s="17"/>
      <c r="J41" s="17"/>
      <c r="K41" s="11" t="str">
        <f aca="false">IF(J41="ja",1,IF(J41="nee",0,""))</f>
        <v/>
      </c>
      <c r="L41" s="17"/>
      <c r="M41" s="17"/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7"/>
      <c r="G42" s="17"/>
      <c r="H42" s="11" t="str">
        <f aca="false">IF(G42="ja",1,IF(G42="nee",0,""))</f>
        <v/>
      </c>
      <c r="I42" s="17"/>
      <c r="J42" s="17"/>
      <c r="K42" s="11" t="str">
        <f aca="false">IF(J42="ja",1,IF(J42="nee",0,""))</f>
        <v/>
      </c>
      <c r="L42" s="17"/>
      <c r="M42" s="17"/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7"/>
      <c r="G43" s="17"/>
      <c r="H43" s="11" t="str">
        <f aca="false">IF(G43="ja",1,IF(G43="nee",0,""))</f>
        <v/>
      </c>
      <c r="I43" s="17"/>
      <c r="J43" s="17"/>
      <c r="K43" s="11" t="str">
        <f aca="false">IF(J43="ja",1,IF(J43="nee",0,""))</f>
        <v/>
      </c>
      <c r="L43" s="17"/>
      <c r="M43" s="17"/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7"/>
      <c r="G44" s="17"/>
      <c r="H44" s="11" t="str">
        <f aca="false">IF(G44="ja",1,IF(G44="nee",0,""))</f>
        <v/>
      </c>
      <c r="I44" s="17"/>
      <c r="J44" s="17"/>
      <c r="K44" s="11" t="str">
        <f aca="false">IF(J44="ja",1,IF(J44="nee",0,""))</f>
        <v/>
      </c>
      <c r="L44" s="17"/>
      <c r="M44" s="17"/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7"/>
      <c r="G45" s="17"/>
      <c r="H45" s="11" t="str">
        <f aca="false">IF(G45="ja",1,IF(G45="nee",0,""))</f>
        <v/>
      </c>
      <c r="I45" s="17"/>
      <c r="J45" s="17"/>
      <c r="K45" s="11" t="str">
        <f aca="false">IF(J45="ja",1,IF(J45="nee",0,""))</f>
        <v/>
      </c>
      <c r="L45" s="17"/>
      <c r="M45" s="17"/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7"/>
      <c r="G46" s="17"/>
      <c r="H46" s="11" t="str">
        <f aca="false">IF(G46="ja",1,IF(G46="nee",0,""))</f>
        <v/>
      </c>
      <c r="I46" s="17"/>
      <c r="J46" s="17"/>
      <c r="K46" s="11" t="str">
        <f aca="false">IF(J46="ja",1,IF(J46="nee",0,""))</f>
        <v/>
      </c>
      <c r="L46" s="17"/>
      <c r="M46" s="17"/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7"/>
      <c r="G47" s="17"/>
      <c r="H47" s="11" t="str">
        <f aca="false">IF(G47="ja",1,IF(G47="nee",0,""))</f>
        <v/>
      </c>
      <c r="I47" s="17"/>
      <c r="J47" s="17"/>
      <c r="K47" s="11" t="str">
        <f aca="false">IF(J47="ja",1,IF(J47="nee",0,""))</f>
        <v/>
      </c>
      <c r="L47" s="17"/>
      <c r="M47" s="17"/>
    </row>
    <row r="48" customFormat="false" ht="15" hidden="false" customHeight="false" outlineLevel="0" collapsed="false">
      <c r="A48" s="16"/>
      <c r="B48" s="17"/>
      <c r="C48" s="17"/>
      <c r="D48" s="17"/>
      <c r="E48" s="17"/>
      <c r="F48" s="17"/>
      <c r="G48" s="17"/>
      <c r="H48" s="11" t="str">
        <f aca="false">IF(G48="ja",1,IF(G48="nee",0,""))</f>
        <v/>
      </c>
      <c r="I48" s="17"/>
      <c r="J48" s="17"/>
      <c r="K48" s="11" t="str">
        <f aca="false">IF(J48="ja",1,IF(J48="nee",0,""))</f>
        <v/>
      </c>
      <c r="L48" s="17"/>
      <c r="M48" s="17"/>
    </row>
    <row r="49" customFormat="false" ht="15" hidden="false" customHeight="false" outlineLevel="0" collapsed="false">
      <c r="A49" s="16"/>
      <c r="B49" s="17"/>
      <c r="C49" s="17"/>
      <c r="D49" s="17"/>
      <c r="E49" s="17"/>
      <c r="F49" s="17"/>
      <c r="G49" s="17"/>
      <c r="H49" s="11" t="str">
        <f aca="false">IF(G49="ja",1,IF(G49="nee",0,""))</f>
        <v/>
      </c>
      <c r="I49" s="17"/>
      <c r="J49" s="17"/>
      <c r="K49" s="11" t="str">
        <f aca="false">IF(J49="ja",1,IF(J49="nee",0,""))</f>
        <v/>
      </c>
      <c r="L49" s="17"/>
      <c r="M49" s="17"/>
    </row>
    <row r="50" customFormat="false" ht="15" hidden="false" customHeight="false" outlineLevel="0" collapsed="false">
      <c r="A50" s="16"/>
      <c r="B50" s="17"/>
      <c r="C50" s="17"/>
      <c r="D50" s="17"/>
      <c r="E50" s="17"/>
      <c r="F50" s="17"/>
      <c r="G50" s="17"/>
      <c r="H50" s="11" t="str">
        <f aca="false">IF(G50="ja",1,IF(G50="nee",0,""))</f>
        <v/>
      </c>
      <c r="I50" s="17"/>
      <c r="J50" s="17"/>
      <c r="K50" s="11" t="str">
        <f aca="false">IF(J50="ja",1,IF(J50="nee",0,""))</f>
        <v/>
      </c>
      <c r="L50" s="17"/>
      <c r="M50" s="17"/>
    </row>
    <row r="51" customFormat="false" ht="15" hidden="false" customHeight="false" outlineLevel="0" collapsed="false">
      <c r="A51" s="16"/>
      <c r="B51" s="17"/>
      <c r="C51" s="17"/>
      <c r="D51" s="17"/>
      <c r="E51" s="17"/>
      <c r="F51" s="17"/>
      <c r="G51" s="17"/>
      <c r="H51" s="11" t="str">
        <f aca="false">IF(G51="ja",1,IF(G51="nee",0,""))</f>
        <v/>
      </c>
      <c r="I51" s="17"/>
      <c r="J51" s="17"/>
      <c r="K51" s="11" t="str">
        <f aca="false">IF(J51="ja",1,IF(J51="nee",0,""))</f>
        <v/>
      </c>
      <c r="L51" s="17"/>
      <c r="M51" s="17"/>
    </row>
    <row r="52" customFormat="false" ht="15" hidden="false" customHeight="false" outlineLevel="0" collapsed="false">
      <c r="A52" s="16"/>
      <c r="B52" s="17"/>
      <c r="C52" s="17"/>
      <c r="D52" s="17"/>
      <c r="E52" s="17"/>
      <c r="F52" s="17"/>
      <c r="G52" s="17"/>
      <c r="H52" s="11" t="str">
        <f aca="false">IF(G52="ja",1,IF(G52="nee",0,""))</f>
        <v/>
      </c>
      <c r="I52" s="17"/>
      <c r="J52" s="17"/>
      <c r="K52" s="11" t="str">
        <f aca="false">IF(J52="ja",1,IF(J52="nee",0,""))</f>
        <v/>
      </c>
      <c r="L52" s="17"/>
      <c r="M52" s="17"/>
    </row>
    <row r="53" customFormat="false" ht="15" hidden="false" customHeight="false" outlineLevel="0" collapsed="false">
      <c r="A53" s="16"/>
      <c r="B53" s="17"/>
      <c r="C53" s="17"/>
      <c r="D53" s="17"/>
      <c r="E53" s="17"/>
      <c r="F53" s="17"/>
      <c r="G53" s="17"/>
      <c r="H53" s="11" t="str">
        <f aca="false">IF(G53="ja",1,IF(G53="nee",0,""))</f>
        <v/>
      </c>
      <c r="I53" s="17"/>
      <c r="J53" s="17"/>
      <c r="K53" s="11" t="str">
        <f aca="false">IF(J53="ja",1,IF(J53="nee",0,""))</f>
        <v/>
      </c>
      <c r="L53" s="17"/>
      <c r="M53" s="17"/>
    </row>
    <row r="54" customFormat="false" ht="15" hidden="false" customHeight="false" outlineLevel="0" collapsed="false">
      <c r="A54" s="16"/>
      <c r="B54" s="17"/>
      <c r="C54" s="17"/>
      <c r="D54" s="17"/>
      <c r="E54" s="17"/>
      <c r="F54" s="17"/>
      <c r="G54" s="17"/>
      <c r="H54" s="11" t="str">
        <f aca="false">IF(G54="ja",1,IF(G54="nee",0,""))</f>
        <v/>
      </c>
      <c r="I54" s="17"/>
      <c r="J54" s="17"/>
      <c r="K54" s="11" t="str">
        <f aca="false">IF(J54="ja",1,IF(J54="nee",0,""))</f>
        <v/>
      </c>
      <c r="L54" s="17"/>
      <c r="M54" s="17"/>
    </row>
    <row r="55" customFormat="false" ht="15" hidden="false" customHeight="false" outlineLevel="0" collapsed="false">
      <c r="A55" s="16"/>
      <c r="B55" s="17"/>
      <c r="C55" s="17"/>
      <c r="D55" s="17"/>
      <c r="E55" s="17"/>
      <c r="F55" s="17"/>
      <c r="G55" s="17"/>
      <c r="H55" s="11" t="str">
        <f aca="false">IF(G55="ja",1,IF(G55="nee",0,""))</f>
        <v/>
      </c>
      <c r="I55" s="17"/>
      <c r="J55" s="17"/>
      <c r="K55" s="11" t="str">
        <f aca="false">IF(J55="ja",1,IF(J55="nee",0,""))</f>
        <v/>
      </c>
      <c r="L55" s="17"/>
      <c r="M55" s="17"/>
    </row>
    <row r="56" customFormat="false" ht="15" hidden="false" customHeight="false" outlineLevel="0" collapsed="false">
      <c r="A56" s="16"/>
      <c r="B56" s="17"/>
      <c r="C56" s="17"/>
      <c r="D56" s="17"/>
      <c r="E56" s="17"/>
      <c r="F56" s="17"/>
      <c r="G56" s="17"/>
      <c r="H56" s="11" t="str">
        <f aca="false">IF(G56="ja",1,IF(G56="nee",0,""))</f>
        <v/>
      </c>
      <c r="I56" s="17"/>
      <c r="J56" s="17"/>
      <c r="K56" s="11" t="str">
        <f aca="false">IF(J56="ja",1,IF(J56="nee",0,""))</f>
        <v/>
      </c>
      <c r="L56" s="17"/>
      <c r="M56" s="17"/>
    </row>
    <row r="57" customFormat="false" ht="15" hidden="false" customHeight="false" outlineLevel="0" collapsed="false">
      <c r="A57" s="16"/>
      <c r="B57" s="17"/>
      <c r="C57" s="17"/>
      <c r="D57" s="17"/>
      <c r="E57" s="17"/>
      <c r="F57" s="17"/>
      <c r="G57" s="17"/>
      <c r="H57" s="11" t="str">
        <f aca="false">IF(G57="ja",1,IF(G57="nee",0,""))</f>
        <v/>
      </c>
      <c r="I57" s="17"/>
      <c r="J57" s="17"/>
      <c r="K57" s="11" t="str">
        <f aca="false">IF(J57="ja",1,IF(J57="nee",0,""))</f>
        <v/>
      </c>
      <c r="L57" s="17"/>
      <c r="M57" s="17"/>
    </row>
    <row r="58" customFormat="false" ht="15" hidden="false" customHeight="false" outlineLevel="0" collapsed="false">
      <c r="A58" s="16"/>
      <c r="B58" s="17"/>
      <c r="C58" s="17"/>
      <c r="D58" s="17"/>
      <c r="E58" s="17"/>
      <c r="F58" s="17"/>
      <c r="G58" s="17"/>
      <c r="H58" s="11" t="str">
        <f aca="false">IF(G58="ja",1,IF(G58="nee",0,""))</f>
        <v/>
      </c>
      <c r="I58" s="17"/>
      <c r="J58" s="17"/>
      <c r="K58" s="11" t="str">
        <f aca="false">IF(J58="ja",1,IF(J58="nee",0,""))</f>
        <v/>
      </c>
      <c r="L58" s="17"/>
      <c r="M58" s="17"/>
    </row>
    <row r="59" customFormat="false" ht="15" hidden="false" customHeight="false" outlineLevel="0" collapsed="false">
      <c r="A59" s="16"/>
      <c r="B59" s="17"/>
      <c r="C59" s="17"/>
      <c r="D59" s="17"/>
      <c r="E59" s="17"/>
      <c r="F59" s="17"/>
      <c r="G59" s="17"/>
      <c r="H59" s="11" t="str">
        <f aca="false">IF(G59="ja",1,IF(G59="nee",0,""))</f>
        <v/>
      </c>
      <c r="I59" s="17"/>
      <c r="J59" s="17"/>
      <c r="K59" s="11" t="str">
        <f aca="false">IF(J59="ja",1,IF(J59="nee",0,""))</f>
        <v/>
      </c>
      <c r="L59" s="17"/>
      <c r="M59" s="17"/>
    </row>
    <row r="60" customFormat="false" ht="15" hidden="false" customHeight="false" outlineLevel="0" collapsed="false">
      <c r="A60" s="16"/>
      <c r="B60" s="17"/>
      <c r="C60" s="17"/>
      <c r="D60" s="17"/>
      <c r="E60" s="17"/>
      <c r="F60" s="17"/>
      <c r="G60" s="17"/>
      <c r="H60" s="11" t="str">
        <f aca="false">IF(G60="ja",1,IF(G60="nee",0,""))</f>
        <v/>
      </c>
      <c r="I60" s="17"/>
      <c r="J60" s="17"/>
      <c r="K60" s="11" t="str">
        <f aca="false">IF(J60="ja",1,IF(J60="nee",0,""))</f>
        <v/>
      </c>
      <c r="L60" s="17"/>
      <c r="M60" s="17"/>
    </row>
    <row r="61" customFormat="false" ht="15" hidden="false" customHeight="false" outlineLevel="0" collapsed="false">
      <c r="A61" s="16"/>
      <c r="B61" s="17"/>
      <c r="C61" s="17"/>
      <c r="D61" s="17"/>
      <c r="E61" s="17"/>
      <c r="F61" s="17"/>
      <c r="G61" s="17"/>
      <c r="H61" s="11" t="str">
        <f aca="false">IF(G61="ja",1,IF(G61="nee",0,""))</f>
        <v/>
      </c>
      <c r="I61" s="17"/>
      <c r="J61" s="17"/>
      <c r="K61" s="11" t="str">
        <f aca="false">IF(J61="ja",1,IF(J61="nee",0,""))</f>
        <v/>
      </c>
      <c r="L61" s="17"/>
      <c r="M61" s="17"/>
    </row>
    <row r="62" customFormat="false" ht="15" hidden="false" customHeight="false" outlineLevel="0" collapsed="false">
      <c r="A62" s="16"/>
      <c r="B62" s="17"/>
      <c r="C62" s="17"/>
      <c r="D62" s="17"/>
      <c r="E62" s="17"/>
      <c r="F62" s="17"/>
      <c r="G62" s="17"/>
      <c r="H62" s="11" t="str">
        <f aca="false">IF(G62="ja",1,IF(G62="nee",0,""))</f>
        <v/>
      </c>
      <c r="I62" s="17"/>
      <c r="J62" s="17"/>
      <c r="K62" s="11" t="str">
        <f aca="false">IF(J62="ja",1,IF(J62="nee",0,""))</f>
        <v/>
      </c>
      <c r="L62" s="17"/>
      <c r="M62" s="17"/>
    </row>
    <row r="63" customFormat="false" ht="15" hidden="false" customHeight="false" outlineLevel="0" collapsed="false">
      <c r="A63" s="16"/>
      <c r="B63" s="17"/>
      <c r="C63" s="17"/>
      <c r="D63" s="17"/>
      <c r="E63" s="17"/>
      <c r="F63" s="17"/>
      <c r="G63" s="17"/>
      <c r="H63" s="11" t="str">
        <f aca="false">IF(G63="ja",1,IF(G63="nee",0,""))</f>
        <v/>
      </c>
      <c r="I63" s="17"/>
      <c r="J63" s="17"/>
      <c r="K63" s="11" t="str">
        <f aca="false">IF(J63="ja",1,IF(J63="nee",0,""))</f>
        <v/>
      </c>
      <c r="L63" s="17"/>
      <c r="M63" s="17"/>
    </row>
    <row r="64" customFormat="false" ht="15" hidden="false" customHeight="false" outlineLevel="0" collapsed="false">
      <c r="A64" s="16"/>
      <c r="B64" s="17"/>
      <c r="C64" s="17"/>
      <c r="D64" s="17"/>
      <c r="E64" s="17"/>
      <c r="F64" s="17"/>
      <c r="G64" s="17"/>
      <c r="H64" s="11" t="str">
        <f aca="false">IF(G64="ja",1,IF(G64="nee",0,""))</f>
        <v/>
      </c>
      <c r="I64" s="17"/>
      <c r="J64" s="17"/>
      <c r="K64" s="11" t="str">
        <f aca="false">IF(J64="ja",1,IF(J64="nee",0,""))</f>
        <v/>
      </c>
      <c r="L64" s="17"/>
      <c r="M64" s="17"/>
    </row>
    <row r="65" customFormat="false" ht="15" hidden="false" customHeight="false" outlineLevel="0" collapsed="false">
      <c r="A65" s="16"/>
      <c r="B65" s="17"/>
      <c r="C65" s="17"/>
      <c r="D65" s="17"/>
      <c r="E65" s="17"/>
      <c r="F65" s="17"/>
      <c r="G65" s="17"/>
      <c r="H65" s="11" t="str">
        <f aca="false">IF(G65="ja",1,IF(G65="nee",0,""))</f>
        <v/>
      </c>
      <c r="I65" s="17"/>
      <c r="J65" s="17"/>
      <c r="K65" s="11" t="str">
        <f aca="false">IF(J65="ja",1,IF(J65="nee",0,""))</f>
        <v/>
      </c>
      <c r="L65" s="17"/>
      <c r="M65" s="17"/>
    </row>
    <row r="66" customFormat="false" ht="15" hidden="false" customHeight="false" outlineLevel="0" collapsed="false">
      <c r="A66" s="16"/>
      <c r="B66" s="17"/>
      <c r="C66" s="17"/>
      <c r="D66" s="17"/>
      <c r="E66" s="17"/>
      <c r="F66" s="17"/>
      <c r="G66" s="17"/>
      <c r="H66" s="11" t="str">
        <f aca="false">IF(G66="ja",1,IF(G66="nee",0,""))</f>
        <v/>
      </c>
      <c r="I66" s="17"/>
      <c r="J66" s="17"/>
      <c r="K66" s="11" t="str">
        <f aca="false">IF(J66="ja",1,IF(J66="nee",0,""))</f>
        <v/>
      </c>
      <c r="L66" s="17"/>
      <c r="M66" s="17"/>
    </row>
    <row r="67" customFormat="false" ht="15" hidden="false" customHeight="false" outlineLevel="0" collapsed="false">
      <c r="A67" s="16"/>
      <c r="B67" s="17"/>
      <c r="C67" s="17"/>
      <c r="D67" s="17"/>
      <c r="E67" s="17"/>
      <c r="F67" s="17"/>
      <c r="G67" s="17"/>
      <c r="H67" s="11" t="str">
        <f aca="false">IF(G67="ja",1,IF(G67="nee",0,""))</f>
        <v/>
      </c>
      <c r="I67" s="17"/>
      <c r="J67" s="17"/>
      <c r="K67" s="11" t="str">
        <f aca="false">IF(J67="ja",1,IF(J67="nee",0,""))</f>
        <v/>
      </c>
      <c r="L67" s="17"/>
      <c r="M67" s="17"/>
    </row>
    <row r="68" customFormat="false" ht="15" hidden="false" customHeight="false" outlineLevel="0" collapsed="false">
      <c r="A68" s="16"/>
      <c r="B68" s="17"/>
      <c r="C68" s="17"/>
      <c r="D68" s="17"/>
      <c r="E68" s="17"/>
      <c r="F68" s="17"/>
      <c r="G68" s="17"/>
      <c r="H68" s="11" t="str">
        <f aca="false">IF(G68="ja",1,IF(G68="nee",0,""))</f>
        <v/>
      </c>
      <c r="I68" s="17"/>
      <c r="J68" s="17"/>
      <c r="K68" s="11" t="str">
        <f aca="false">IF(J68="ja",1,IF(J68="nee",0,""))</f>
        <v/>
      </c>
      <c r="L68" s="17"/>
      <c r="M68" s="17"/>
    </row>
    <row r="69" customFormat="false" ht="15" hidden="false" customHeight="false" outlineLevel="0" collapsed="false">
      <c r="A69" s="16"/>
      <c r="B69" s="17"/>
      <c r="C69" s="17"/>
      <c r="D69" s="17"/>
      <c r="E69" s="17"/>
      <c r="F69" s="17"/>
      <c r="G69" s="17"/>
      <c r="H69" s="11" t="str">
        <f aca="false">IF(G69="ja",1,IF(G69="nee",0,""))</f>
        <v/>
      </c>
      <c r="I69" s="17"/>
      <c r="J69" s="17"/>
      <c r="K69" s="11" t="str">
        <f aca="false">IF(J69="ja",1,IF(J69="nee",0,""))</f>
        <v/>
      </c>
      <c r="L69" s="17"/>
      <c r="M69" s="17"/>
    </row>
    <row r="70" customFormat="false" ht="15" hidden="false" customHeight="false" outlineLevel="0" collapsed="false">
      <c r="A70" s="16"/>
      <c r="B70" s="17"/>
      <c r="C70" s="17"/>
      <c r="D70" s="17"/>
      <c r="E70" s="17"/>
      <c r="F70" s="17"/>
      <c r="G70" s="17"/>
      <c r="H70" s="11" t="str">
        <f aca="false">IF(G70="ja",1,IF(G70="nee",0,""))</f>
        <v/>
      </c>
      <c r="I70" s="17"/>
      <c r="J70" s="17"/>
      <c r="K70" s="11" t="str">
        <f aca="false">IF(J70="ja",1,IF(J70="nee",0,""))</f>
        <v/>
      </c>
      <c r="L70" s="17"/>
      <c r="M70" s="17"/>
    </row>
    <row r="71" customFormat="false" ht="15" hidden="false" customHeight="false" outlineLevel="0" collapsed="false">
      <c r="A71" s="16"/>
      <c r="B71" s="17"/>
      <c r="C71" s="17"/>
      <c r="D71" s="17"/>
      <c r="E71" s="17"/>
      <c r="F71" s="17"/>
      <c r="G71" s="17"/>
      <c r="H71" s="11" t="str">
        <f aca="false">IF(G71="ja",1,IF(G71="nee",0,""))</f>
        <v/>
      </c>
      <c r="I71" s="17"/>
      <c r="J71" s="17"/>
      <c r="K71" s="11" t="str">
        <f aca="false">IF(J71="ja",1,IF(J71="nee",0,""))</f>
        <v/>
      </c>
      <c r="L71" s="17"/>
      <c r="M71" s="17"/>
    </row>
    <row r="72" customFormat="false" ht="15" hidden="false" customHeight="false" outlineLevel="0" collapsed="false">
      <c r="A72" s="16"/>
      <c r="B72" s="17"/>
      <c r="C72" s="17"/>
      <c r="D72" s="17"/>
      <c r="E72" s="17"/>
      <c r="F72" s="17"/>
      <c r="G72" s="17"/>
      <c r="H72" s="11" t="str">
        <f aca="false">IF(G72="ja",1,IF(G72="nee",0,""))</f>
        <v/>
      </c>
      <c r="I72" s="17"/>
      <c r="J72" s="17"/>
      <c r="K72" s="11" t="str">
        <f aca="false">IF(J72="ja",1,IF(J72="nee",0,""))</f>
        <v/>
      </c>
      <c r="L72" s="17"/>
      <c r="M72" s="17"/>
    </row>
    <row r="73" customFormat="false" ht="15" hidden="false" customHeight="false" outlineLevel="0" collapsed="false">
      <c r="A73" s="16"/>
      <c r="B73" s="17"/>
      <c r="C73" s="17"/>
      <c r="D73" s="17"/>
      <c r="E73" s="17"/>
      <c r="F73" s="17"/>
      <c r="G73" s="17"/>
      <c r="H73" s="11" t="str">
        <f aca="false">IF(G73="ja",1,IF(G73="nee",0,""))</f>
        <v/>
      </c>
      <c r="I73" s="17"/>
      <c r="J73" s="17"/>
      <c r="K73" s="11" t="str">
        <f aca="false">IF(J73="ja",1,IF(J73="nee",0,""))</f>
        <v/>
      </c>
      <c r="L73" s="17"/>
      <c r="M73" s="17"/>
    </row>
    <row r="74" customFormat="false" ht="15" hidden="false" customHeight="false" outlineLevel="0" collapsed="false">
      <c r="A74" s="16"/>
      <c r="B74" s="17"/>
      <c r="C74" s="17"/>
      <c r="D74" s="17"/>
      <c r="E74" s="17"/>
      <c r="F74" s="17"/>
      <c r="G74" s="17"/>
      <c r="H74" s="11" t="str">
        <f aca="false">IF(G74="ja",1,IF(G74="nee",0,""))</f>
        <v/>
      </c>
      <c r="I74" s="17"/>
      <c r="J74" s="17"/>
      <c r="K74" s="11" t="str">
        <f aca="false">IF(J74="ja",1,IF(J74="nee",0,""))</f>
        <v/>
      </c>
      <c r="L74" s="17"/>
      <c r="M74" s="17"/>
    </row>
    <row r="75" customFormat="false" ht="15" hidden="false" customHeight="false" outlineLevel="0" collapsed="false">
      <c r="A75" s="16"/>
      <c r="B75" s="17"/>
      <c r="C75" s="17"/>
      <c r="D75" s="17"/>
      <c r="E75" s="17"/>
      <c r="F75" s="17"/>
      <c r="G75" s="17"/>
      <c r="H75" s="11" t="str">
        <f aca="false">IF(G75="ja",1,IF(G75="nee",0,""))</f>
        <v/>
      </c>
      <c r="I75" s="17"/>
      <c r="J75" s="17"/>
      <c r="K75" s="11" t="str">
        <f aca="false">IF(J75="ja",1,IF(J75="nee",0,""))</f>
        <v/>
      </c>
      <c r="L75" s="17"/>
      <c r="M75" s="17"/>
    </row>
    <row r="76" customFormat="false" ht="15" hidden="false" customHeight="false" outlineLevel="0" collapsed="false">
      <c r="A76" s="16"/>
      <c r="B76" s="17"/>
      <c r="C76" s="17"/>
      <c r="D76" s="17"/>
      <c r="E76" s="17"/>
      <c r="F76" s="17"/>
      <c r="G76" s="17"/>
      <c r="H76" s="11" t="str">
        <f aca="false">IF(G76="ja",1,IF(G76="nee",0,""))</f>
        <v/>
      </c>
      <c r="I76" s="17"/>
      <c r="J76" s="17"/>
      <c r="K76" s="11" t="str">
        <f aca="false">IF(J76="ja",1,IF(J76="nee",0,""))</f>
        <v/>
      </c>
      <c r="L76" s="17"/>
      <c r="M76" s="17"/>
    </row>
    <row r="77" customFormat="false" ht="15" hidden="false" customHeight="false" outlineLevel="0" collapsed="false">
      <c r="A77" s="16"/>
      <c r="B77" s="17"/>
      <c r="C77" s="17"/>
      <c r="D77" s="17"/>
      <c r="E77" s="17"/>
      <c r="F77" s="17"/>
      <c r="G77" s="17"/>
      <c r="H77" s="11" t="str">
        <f aca="false">IF(G77="ja",1,IF(G77="nee",0,""))</f>
        <v/>
      </c>
      <c r="I77" s="17"/>
      <c r="J77" s="17"/>
      <c r="K77" s="11" t="str">
        <f aca="false">IF(J77="ja",1,IF(J77="nee",0,""))</f>
        <v/>
      </c>
      <c r="L77" s="17"/>
      <c r="M77" s="17"/>
    </row>
    <row r="78" customFormat="false" ht="15" hidden="false" customHeight="false" outlineLevel="0" collapsed="false">
      <c r="A78" s="16"/>
      <c r="B78" s="17"/>
      <c r="C78" s="17"/>
      <c r="D78" s="17"/>
      <c r="E78" s="17"/>
      <c r="F78" s="17"/>
      <c r="G78" s="17"/>
      <c r="H78" s="11" t="str">
        <f aca="false">IF(G78="ja",1,IF(G78="nee",0,""))</f>
        <v/>
      </c>
      <c r="I78" s="17"/>
      <c r="J78" s="17"/>
      <c r="K78" s="11" t="str">
        <f aca="false">IF(J78="ja",1,IF(J78="nee",0,""))</f>
        <v/>
      </c>
      <c r="L78" s="17"/>
      <c r="M78" s="17"/>
    </row>
    <row r="79" customFormat="false" ht="15" hidden="false" customHeight="false" outlineLevel="0" collapsed="false">
      <c r="A79" s="16"/>
      <c r="B79" s="17"/>
      <c r="C79" s="17"/>
      <c r="D79" s="17"/>
      <c r="E79" s="17"/>
      <c r="F79" s="17"/>
      <c r="G79" s="17"/>
      <c r="H79" s="11" t="str">
        <f aca="false">IF(G79="ja",1,IF(G79="nee",0,""))</f>
        <v/>
      </c>
      <c r="I79" s="17"/>
      <c r="J79" s="17"/>
      <c r="K79" s="11" t="str">
        <f aca="false">IF(J79="ja",1,IF(J79="nee",0,""))</f>
        <v/>
      </c>
      <c r="L79" s="17"/>
      <c r="M79" s="17"/>
    </row>
    <row r="80" customFormat="false" ht="15" hidden="false" customHeight="false" outlineLevel="0" collapsed="false">
      <c r="A80" s="16"/>
      <c r="B80" s="17"/>
      <c r="C80" s="17"/>
      <c r="D80" s="17"/>
      <c r="E80" s="17"/>
      <c r="F80" s="17"/>
      <c r="G80" s="17"/>
      <c r="H80" s="11" t="str">
        <f aca="false">IF(G80="ja",1,IF(G80="nee",0,""))</f>
        <v/>
      </c>
      <c r="I80" s="17"/>
      <c r="J80" s="17"/>
      <c r="K80" s="11" t="str">
        <f aca="false">IF(J80="ja",1,IF(J80="nee",0,""))</f>
        <v/>
      </c>
      <c r="L80" s="17"/>
      <c r="M80" s="17"/>
    </row>
    <row r="81" customFormat="false" ht="15" hidden="false" customHeight="false" outlineLevel="0" collapsed="false">
      <c r="A81" s="16"/>
      <c r="B81" s="17"/>
      <c r="C81" s="17"/>
      <c r="D81" s="17"/>
      <c r="E81" s="17"/>
      <c r="F81" s="17"/>
      <c r="G81" s="17"/>
      <c r="H81" s="11" t="str">
        <f aca="false">IF(G81="ja",1,IF(G81="nee",0,""))</f>
        <v/>
      </c>
      <c r="I81" s="17"/>
      <c r="J81" s="17"/>
      <c r="K81" s="11" t="str">
        <f aca="false">IF(J81="ja",1,IF(J81="nee",0,""))</f>
        <v/>
      </c>
      <c r="L81" s="17"/>
      <c r="M81" s="17"/>
    </row>
    <row r="82" customFormat="false" ht="15" hidden="false" customHeight="false" outlineLevel="0" collapsed="false">
      <c r="A82" s="16"/>
      <c r="B82" s="17"/>
      <c r="C82" s="17"/>
      <c r="D82" s="17"/>
      <c r="E82" s="17"/>
      <c r="F82" s="17"/>
      <c r="G82" s="17"/>
      <c r="H82" s="11" t="str">
        <f aca="false">IF(G82="ja",1,IF(G82="nee",0,""))</f>
        <v/>
      </c>
      <c r="I82" s="17"/>
      <c r="J82" s="17"/>
      <c r="K82" s="11" t="str">
        <f aca="false">IF(J82="ja",1,IF(J82="nee",0,""))</f>
        <v/>
      </c>
      <c r="L82" s="17"/>
      <c r="M82" s="17"/>
    </row>
    <row r="83" customFormat="false" ht="15" hidden="false" customHeight="false" outlineLevel="0" collapsed="false">
      <c r="A83" s="16"/>
      <c r="B83" s="17"/>
      <c r="C83" s="17"/>
      <c r="D83" s="17"/>
      <c r="E83" s="17"/>
      <c r="F83" s="17"/>
      <c r="G83" s="17"/>
      <c r="H83" s="11" t="str">
        <f aca="false">IF(G83="ja",1,IF(G83="nee",0,""))</f>
        <v/>
      </c>
      <c r="I83" s="17"/>
      <c r="J83" s="17"/>
      <c r="K83" s="11" t="str">
        <f aca="false">IF(J83="ja",1,IF(J83="nee",0,""))</f>
        <v/>
      </c>
      <c r="L83" s="17"/>
      <c r="M83" s="17"/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7"/>
      <c r="H84" s="11" t="str">
        <f aca="false">IF(G84="ja",1,IF(G84="nee",0,""))</f>
        <v/>
      </c>
      <c r="I84" s="17"/>
      <c r="J84" s="17"/>
      <c r="K84" s="11" t="str">
        <f aca="false">IF(J84="ja",1,IF(J84="nee",0,""))</f>
        <v/>
      </c>
      <c r="L84" s="17"/>
      <c r="M84" s="17"/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7"/>
      <c r="H85" s="11" t="str">
        <f aca="false">IF(G85="ja",1,IF(G85="nee",0,""))</f>
        <v/>
      </c>
      <c r="I85" s="17"/>
      <c r="J85" s="17"/>
      <c r="K85" s="11" t="str">
        <f aca="false">IF(J85="ja",1,IF(J85="nee",0,""))</f>
        <v/>
      </c>
      <c r="L85" s="17"/>
      <c r="M85" s="17"/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7"/>
      <c r="H86" s="11" t="str">
        <f aca="false">IF(G86="ja",1,IF(G86="nee",0,""))</f>
        <v/>
      </c>
      <c r="I86" s="17"/>
      <c r="J86" s="17"/>
      <c r="K86" s="11" t="str">
        <f aca="false">IF(J86="ja",1,IF(J86="nee",0,""))</f>
        <v/>
      </c>
      <c r="L86" s="17"/>
      <c r="M86" s="17"/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7"/>
      <c r="H87" s="11" t="str">
        <f aca="false">IF(G87="ja",1,IF(G87="nee",0,""))</f>
        <v/>
      </c>
      <c r="I87" s="17"/>
      <c r="J87" s="17"/>
      <c r="K87" s="11" t="str">
        <f aca="false">IF(J87="ja",1,IF(J87="nee",0,""))</f>
        <v/>
      </c>
      <c r="L87" s="17"/>
      <c r="M87" s="17"/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7"/>
      <c r="H88" s="11" t="str">
        <f aca="false">IF(G88="ja",1,IF(G88="nee",0,""))</f>
        <v/>
      </c>
      <c r="I88" s="17"/>
      <c r="J88" s="17"/>
      <c r="K88" s="11" t="str">
        <f aca="false">IF(J88="ja",1,IF(J88="nee",0,""))</f>
        <v/>
      </c>
      <c r="L88" s="17"/>
      <c r="M88" s="17"/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7"/>
      <c r="H89" s="11" t="str">
        <f aca="false">IF(G89="ja",1,IF(G89="nee",0,""))</f>
        <v/>
      </c>
      <c r="I89" s="17"/>
      <c r="J89" s="17"/>
      <c r="K89" s="11" t="str">
        <f aca="false">IF(J89="ja",1,IF(J89="nee",0,""))</f>
        <v/>
      </c>
      <c r="L89" s="17"/>
      <c r="M89" s="17"/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7"/>
      <c r="H90" s="11" t="str">
        <f aca="false">IF(G90="ja",1,IF(G90="nee",0,""))</f>
        <v/>
      </c>
      <c r="I90" s="17"/>
      <c r="J90" s="17"/>
      <c r="K90" s="11" t="str">
        <f aca="false">IF(J90="ja",1,IF(J90="nee",0,""))</f>
        <v/>
      </c>
      <c r="L90" s="17"/>
      <c r="M90" s="17"/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7"/>
      <c r="H91" s="11" t="str">
        <f aca="false">IF(G91="ja",1,IF(G91="nee",0,""))</f>
        <v/>
      </c>
      <c r="I91" s="17"/>
      <c r="J91" s="17"/>
      <c r="K91" s="11" t="str">
        <f aca="false">IF(J91="ja",1,IF(J91="nee",0,""))</f>
        <v/>
      </c>
      <c r="L91" s="17"/>
      <c r="M91" s="17"/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7"/>
      <c r="H92" s="11" t="str">
        <f aca="false">IF(G92="ja",1,IF(G92="nee",0,""))</f>
        <v/>
      </c>
      <c r="I92" s="17"/>
      <c r="J92" s="17"/>
      <c r="K92" s="11" t="str">
        <f aca="false">IF(J92="ja",1,IF(J92="nee",0,""))</f>
        <v/>
      </c>
      <c r="L92" s="17"/>
      <c r="M92" s="17"/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7"/>
      <c r="H93" s="11" t="str">
        <f aca="false">IF(G93="ja",1,IF(G93="nee",0,""))</f>
        <v/>
      </c>
      <c r="I93" s="17"/>
      <c r="J93" s="17"/>
      <c r="K93" s="11" t="str">
        <f aca="false">IF(J93="ja",1,IF(J93="nee",0,""))</f>
        <v/>
      </c>
      <c r="L93" s="17"/>
      <c r="M93" s="17"/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7"/>
      <c r="H94" s="11" t="str">
        <f aca="false">IF(G94="ja",1,IF(G94="nee",0,""))</f>
        <v/>
      </c>
      <c r="I94" s="17"/>
      <c r="J94" s="17"/>
      <c r="K94" s="11" t="str">
        <f aca="false">IF(J94="ja",1,IF(J94="nee",0,""))</f>
        <v/>
      </c>
      <c r="L94" s="17"/>
      <c r="M94" s="17"/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7"/>
      <c r="H95" s="11" t="str">
        <f aca="false">IF(G95="ja",1,IF(G95="nee",0,""))</f>
        <v/>
      </c>
      <c r="I95" s="17"/>
      <c r="J95" s="17"/>
      <c r="K95" s="11" t="str">
        <f aca="false">IF(J95="ja",1,IF(J95="nee",0,""))</f>
        <v/>
      </c>
      <c r="L95" s="17"/>
      <c r="M95" s="17"/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7"/>
      <c r="H96" s="11" t="str">
        <f aca="false">IF(G96="ja",1,IF(G96="nee",0,""))</f>
        <v/>
      </c>
      <c r="I96" s="17"/>
      <c r="J96" s="17"/>
      <c r="K96" s="11" t="str">
        <f aca="false">IF(J96="ja",1,IF(J96="nee",0,""))</f>
        <v/>
      </c>
      <c r="L96" s="17"/>
      <c r="M96" s="17"/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7"/>
      <c r="H97" s="11" t="str">
        <f aca="false">IF(G97="ja",1,IF(G97="nee",0,""))</f>
        <v/>
      </c>
      <c r="I97" s="17"/>
      <c r="J97" s="17"/>
      <c r="K97" s="11" t="str">
        <f aca="false">IF(J97="ja",1,IF(J97="nee",0,""))</f>
        <v/>
      </c>
      <c r="L97" s="17"/>
      <c r="M97" s="17"/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7"/>
      <c r="H98" s="11" t="str">
        <f aca="false">IF(G98="ja",1,IF(G98="nee",0,""))</f>
        <v/>
      </c>
      <c r="I98" s="17"/>
      <c r="J98" s="17"/>
      <c r="K98" s="11" t="str">
        <f aca="false">IF(J98="ja",1,IF(J98="nee",0,""))</f>
        <v/>
      </c>
      <c r="L98" s="17"/>
      <c r="M98" s="17"/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7"/>
      <c r="H99" s="11" t="str">
        <f aca="false">IF(G99="ja",1,IF(G99="nee",0,""))</f>
        <v/>
      </c>
      <c r="I99" s="17"/>
      <c r="J99" s="17"/>
      <c r="K99" s="11" t="str">
        <f aca="false">IF(J99="ja",1,IF(J99="nee",0,""))</f>
        <v/>
      </c>
      <c r="L99" s="17"/>
      <c r="M99" s="17"/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7"/>
      <c r="H100" s="11" t="str">
        <f aca="false">IF(G100="ja",1,IF(G100="nee",0,""))</f>
        <v/>
      </c>
      <c r="I100" s="17"/>
      <c r="J100" s="17"/>
      <c r="K100" s="11" t="str">
        <f aca="false">IF(J100="ja",1,IF(J100="nee",0,""))</f>
        <v/>
      </c>
      <c r="L100" s="17"/>
      <c r="M100" s="17"/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7"/>
      <c r="H101" s="11" t="str">
        <f aca="false">IF(G101="ja",1,IF(G101="nee",0,""))</f>
        <v/>
      </c>
      <c r="I101" s="17"/>
      <c r="J101" s="17"/>
      <c r="K101" s="11" t="str">
        <f aca="false">IF(J101="ja",1,IF(J101="nee",0,""))</f>
        <v/>
      </c>
      <c r="L101" s="17"/>
      <c r="M101" s="17"/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7"/>
      <c r="H102" s="11" t="str">
        <f aca="false">IF(G102="ja",1,IF(G102="nee",0,""))</f>
        <v/>
      </c>
      <c r="I102" s="17"/>
      <c r="J102" s="17"/>
      <c r="K102" s="11" t="str">
        <f aca="false">IF(J102="ja",1,IF(J102="nee",0,""))</f>
        <v/>
      </c>
      <c r="L102" s="17"/>
      <c r="M102" s="17"/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7"/>
      <c r="H103" s="11" t="str">
        <f aca="false">IF(G103="ja",1,IF(G103="nee",0,""))</f>
        <v/>
      </c>
      <c r="I103" s="17"/>
      <c r="J103" s="17"/>
      <c r="K103" s="11" t="str">
        <f aca="false">IF(J103="ja",1,IF(J103="nee",0,""))</f>
        <v/>
      </c>
      <c r="L103" s="17"/>
      <c r="M103" s="17"/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7"/>
      <c r="H104" s="11" t="str">
        <f aca="false">IF(G104="ja",1,IF(G104="nee",0,""))</f>
        <v/>
      </c>
      <c r="I104" s="17"/>
      <c r="J104" s="17"/>
      <c r="K104" s="11" t="str">
        <f aca="false">IF(J104="ja",1,IF(J104="nee",0,""))</f>
        <v/>
      </c>
      <c r="L104" s="17"/>
      <c r="M104" s="17"/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7"/>
      <c r="H105" s="11" t="str">
        <f aca="false">IF(G105="ja",1,IF(G105="nee",0,""))</f>
        <v/>
      </c>
      <c r="I105" s="17"/>
      <c r="J105" s="17"/>
      <c r="K105" s="11" t="str">
        <f aca="false">IF(J105="ja",1,IF(J105="nee",0,""))</f>
        <v/>
      </c>
      <c r="L105" s="17"/>
      <c r="M105" s="17"/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7"/>
      <c r="H106" s="11" t="str">
        <f aca="false">IF(G106="ja",1,IF(G106="nee",0,""))</f>
        <v/>
      </c>
      <c r="I106" s="17"/>
      <c r="J106" s="17"/>
      <c r="K106" s="11" t="str">
        <f aca="false">IF(J106="ja",1,IF(J106="nee",0,""))</f>
        <v/>
      </c>
      <c r="L106" s="17"/>
      <c r="M106" s="17"/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7"/>
      <c r="H107" s="11" t="str">
        <f aca="false">IF(G107="ja",1,IF(G107="nee",0,""))</f>
        <v/>
      </c>
      <c r="I107" s="17"/>
      <c r="J107" s="17"/>
      <c r="K107" s="11" t="str">
        <f aca="false">IF(J107="ja",1,IF(J107="nee",0,""))</f>
        <v/>
      </c>
      <c r="L107" s="17"/>
      <c r="M107" s="17"/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7"/>
      <c r="H108" s="11" t="str">
        <f aca="false">IF(G108="ja",1,IF(G108="nee",0,""))</f>
        <v/>
      </c>
      <c r="I108" s="17"/>
      <c r="J108" s="17"/>
      <c r="K108" s="11" t="str">
        <f aca="false">IF(J108="ja",1,IF(J108="nee",0,""))</f>
        <v/>
      </c>
      <c r="L108" s="17"/>
      <c r="M108" s="17"/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7"/>
      <c r="H109" s="11" t="str">
        <f aca="false">IF(G109="ja",1,IF(G109="nee",0,""))</f>
        <v/>
      </c>
      <c r="I109" s="17"/>
      <c r="J109" s="17"/>
      <c r="K109" s="11" t="str">
        <f aca="false">IF(J109="ja",1,IF(J109="nee",0,""))</f>
        <v/>
      </c>
      <c r="L109" s="17"/>
      <c r="M109" s="17"/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7"/>
      <c r="H110" s="11" t="str">
        <f aca="false">IF(G110="ja",1,IF(G110="nee",0,""))</f>
        <v/>
      </c>
      <c r="I110" s="17"/>
      <c r="J110" s="17"/>
      <c r="K110" s="11" t="str">
        <f aca="false">IF(J110="ja",1,IF(J110="nee",0,""))</f>
        <v/>
      </c>
      <c r="L110" s="17"/>
      <c r="M110" s="17"/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7"/>
      <c r="H111" s="11" t="str">
        <f aca="false">IF(G111="ja",1,IF(G111="nee",0,""))</f>
        <v/>
      </c>
      <c r="I111" s="17"/>
      <c r="J111" s="17"/>
      <c r="K111" s="11" t="str">
        <f aca="false">IF(J111="ja",1,IF(J111="nee",0,""))</f>
        <v/>
      </c>
      <c r="L111" s="17"/>
      <c r="M111" s="17"/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7"/>
      <c r="H112" s="11" t="str">
        <f aca="false">IF(G112="ja",1,IF(G112="nee",0,""))</f>
        <v/>
      </c>
      <c r="I112" s="17"/>
      <c r="J112" s="17"/>
      <c r="K112" s="11" t="str">
        <f aca="false">IF(J112="ja",1,IF(J112="nee",0,""))</f>
        <v/>
      </c>
      <c r="L112" s="17"/>
      <c r="M112" s="17"/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7"/>
      <c r="H113" s="11" t="str">
        <f aca="false">IF(G113="ja",1,IF(G113="nee",0,""))</f>
        <v/>
      </c>
      <c r="I113" s="17"/>
      <c r="J113" s="17"/>
      <c r="K113" s="11" t="str">
        <f aca="false">IF(J113="ja",1,IF(J113="nee",0,""))</f>
        <v/>
      </c>
      <c r="L113" s="17"/>
      <c r="M113" s="17"/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7"/>
      <c r="H114" s="11" t="str">
        <f aca="false">IF(G114="ja",1,IF(G114="nee",0,""))</f>
        <v/>
      </c>
      <c r="I114" s="17"/>
      <c r="J114" s="17"/>
      <c r="K114" s="11" t="str">
        <f aca="false">IF(J114="ja",1,IF(J114="nee",0,""))</f>
        <v/>
      </c>
      <c r="L114" s="17"/>
      <c r="M114" s="17"/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7"/>
      <c r="H115" s="11" t="str">
        <f aca="false">IF(G115="ja",1,IF(G115="nee",0,""))</f>
        <v/>
      </c>
      <c r="I115" s="17"/>
      <c r="J115" s="17"/>
      <c r="K115" s="11" t="str">
        <f aca="false">IF(J115="ja",1,IF(J115="nee",0,""))</f>
        <v/>
      </c>
      <c r="L115" s="17"/>
      <c r="M115" s="17"/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7"/>
      <c r="H116" s="11" t="str">
        <f aca="false">IF(G116="ja",1,IF(G116="nee",0,""))</f>
        <v/>
      </c>
      <c r="I116" s="17"/>
      <c r="J116" s="17"/>
      <c r="K116" s="11" t="str">
        <f aca="false">IF(J116="ja",1,IF(J116="nee",0,""))</f>
        <v/>
      </c>
      <c r="L116" s="17"/>
      <c r="M116" s="17"/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7"/>
      <c r="H117" s="11" t="str">
        <f aca="false">IF(G117="ja",1,IF(G117="nee",0,""))</f>
        <v/>
      </c>
      <c r="I117" s="17"/>
      <c r="J117" s="17"/>
      <c r="K117" s="11" t="str">
        <f aca="false">IF(J117="ja",1,IF(J117="nee",0,""))</f>
        <v/>
      </c>
      <c r="L117" s="17"/>
      <c r="M117" s="17"/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7"/>
      <c r="H118" s="11" t="str">
        <f aca="false">IF(G118="ja",1,IF(G118="nee",0,""))</f>
        <v/>
      </c>
      <c r="I118" s="17"/>
      <c r="J118" s="17"/>
      <c r="K118" s="11" t="str">
        <f aca="false">IF(J118="ja",1,IF(J118="nee",0,""))</f>
        <v/>
      </c>
      <c r="L118" s="17"/>
      <c r="M118" s="17"/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7"/>
      <c r="H119" s="11" t="str">
        <f aca="false">IF(G119="ja",1,IF(G119="nee",0,""))</f>
        <v/>
      </c>
      <c r="I119" s="17"/>
      <c r="J119" s="17"/>
      <c r="K119" s="11" t="str">
        <f aca="false">IF(J119="ja",1,IF(J119="nee",0,""))</f>
        <v/>
      </c>
      <c r="L119" s="17"/>
      <c r="M119" s="17"/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7"/>
      <c r="H120" s="11" t="str">
        <f aca="false">IF(G120="ja",1,IF(G120="nee",0,""))</f>
        <v/>
      </c>
      <c r="I120" s="17"/>
      <c r="J120" s="17"/>
      <c r="K120" s="11" t="str">
        <f aca="false">IF(J120="ja",1,IF(J120="nee",0,""))</f>
        <v/>
      </c>
      <c r="L120" s="17"/>
      <c r="M120" s="17"/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7"/>
      <c r="H121" s="11" t="str">
        <f aca="false">IF(G121="ja",1,IF(G121="nee",0,""))</f>
        <v/>
      </c>
      <c r="I121" s="17"/>
      <c r="J121" s="17"/>
      <c r="K121" s="11" t="str">
        <f aca="false">IF(J121="ja",1,IF(J121="nee",0,""))</f>
        <v/>
      </c>
      <c r="L121" s="17"/>
      <c r="M121" s="17"/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7"/>
      <c r="H122" s="11" t="str">
        <f aca="false">IF(G122="ja",1,IF(G122="nee",0,""))</f>
        <v/>
      </c>
      <c r="I122" s="17"/>
      <c r="J122" s="17"/>
      <c r="K122" s="11" t="str">
        <f aca="false">IF(J122="ja",1,IF(J122="nee",0,""))</f>
        <v/>
      </c>
      <c r="L122" s="17"/>
      <c r="M122" s="17"/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7"/>
      <c r="H123" s="11" t="str">
        <f aca="false">IF(G123="ja",1,IF(G123="nee",0,""))</f>
        <v/>
      </c>
      <c r="I123" s="17"/>
      <c r="J123" s="17"/>
      <c r="K123" s="11" t="str">
        <f aca="false">IF(J123="ja",1,IF(J123="nee",0,""))</f>
        <v/>
      </c>
      <c r="L123" s="17"/>
      <c r="M123" s="17"/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7"/>
      <c r="H124" s="11" t="str">
        <f aca="false">IF(G124="ja",1,IF(G124="nee",0,""))</f>
        <v/>
      </c>
      <c r="I124" s="17"/>
      <c r="J124" s="17"/>
      <c r="K124" s="11" t="str">
        <f aca="false">IF(J124="ja",1,IF(J124="nee",0,""))</f>
        <v/>
      </c>
      <c r="L124" s="17"/>
      <c r="M124" s="17"/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7"/>
      <c r="H125" s="11" t="str">
        <f aca="false">IF(G125="ja",1,IF(G125="nee",0,""))</f>
        <v/>
      </c>
      <c r="I125" s="17"/>
      <c r="J125" s="17"/>
      <c r="K125" s="11" t="str">
        <f aca="false">IF(J125="ja",1,IF(J125="nee",0,""))</f>
        <v/>
      </c>
      <c r="L125" s="17"/>
      <c r="M125" s="17"/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7"/>
      <c r="H126" s="11" t="str">
        <f aca="false">IF(G126="ja",1,IF(G126="nee",0,""))</f>
        <v/>
      </c>
      <c r="I126" s="17"/>
      <c r="J126" s="17"/>
      <c r="K126" s="11" t="str">
        <f aca="false">IF(J126="ja",1,IF(J126="nee",0,""))</f>
        <v/>
      </c>
      <c r="L126" s="17"/>
      <c r="M126" s="17"/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7"/>
      <c r="H127" s="11" t="str">
        <f aca="false">IF(G127="ja",1,IF(G127="nee",0,""))</f>
        <v/>
      </c>
      <c r="I127" s="17"/>
      <c r="J127" s="17"/>
      <c r="K127" s="11" t="str">
        <f aca="false">IF(J127="ja",1,IF(J127="nee",0,""))</f>
        <v/>
      </c>
      <c r="L127" s="17"/>
      <c r="M127" s="17"/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7"/>
      <c r="H128" s="11" t="str">
        <f aca="false">IF(G128="ja",1,IF(G128="nee",0,""))</f>
        <v/>
      </c>
      <c r="I128" s="17"/>
      <c r="J128" s="17"/>
      <c r="K128" s="11" t="str">
        <f aca="false">IF(J128="ja",1,IF(J128="nee",0,""))</f>
        <v/>
      </c>
      <c r="L128" s="17"/>
      <c r="M128" s="17"/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7"/>
      <c r="H129" s="11" t="str">
        <f aca="false">IF(G129="ja",1,IF(G129="nee",0,""))</f>
        <v/>
      </c>
      <c r="I129" s="17"/>
      <c r="J129" s="17"/>
      <c r="K129" s="11" t="str">
        <f aca="false">IF(J129="ja",1,IF(J129="nee",0,""))</f>
        <v/>
      </c>
      <c r="L129" s="17"/>
      <c r="M129" s="17"/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7"/>
      <c r="H130" s="11" t="str">
        <f aca="false">IF(G130="ja",1,IF(G130="nee",0,""))</f>
        <v/>
      </c>
      <c r="I130" s="17"/>
      <c r="J130" s="17"/>
      <c r="K130" s="11" t="str">
        <f aca="false">IF(J130="ja",1,IF(J130="nee",0,""))</f>
        <v/>
      </c>
      <c r="L130" s="17"/>
      <c r="M130" s="17"/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7"/>
      <c r="H131" s="11" t="str">
        <f aca="false">IF(G131="ja",1,IF(G131="nee",0,""))</f>
        <v/>
      </c>
      <c r="I131" s="17"/>
      <c r="J131" s="17"/>
      <c r="K131" s="11" t="str">
        <f aca="false">IF(J131="ja",1,IF(J131="nee",0,""))</f>
        <v/>
      </c>
      <c r="L131" s="17"/>
      <c r="M131" s="17"/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7"/>
      <c r="H132" s="11" t="str">
        <f aca="false">IF(G132="ja",1,IF(G132="nee",0,""))</f>
        <v/>
      </c>
      <c r="I132" s="17"/>
      <c r="J132" s="17"/>
      <c r="K132" s="11" t="str">
        <f aca="false">IF(J132="ja",1,IF(J132="nee",0,""))</f>
        <v/>
      </c>
      <c r="L132" s="17"/>
      <c r="M132" s="17"/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7"/>
      <c r="H133" s="11" t="str">
        <f aca="false">IF(G133="ja",1,IF(G133="nee",0,""))</f>
        <v/>
      </c>
      <c r="I133" s="17"/>
      <c r="J133" s="17"/>
      <c r="K133" s="11" t="str">
        <f aca="false">IF(J133="ja",1,IF(J133="nee",0,""))</f>
        <v/>
      </c>
      <c r="L133" s="17"/>
      <c r="M133" s="17"/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7"/>
      <c r="H134" s="11" t="str">
        <f aca="false">IF(G134="ja",1,IF(G134="nee",0,""))</f>
        <v/>
      </c>
      <c r="I134" s="17"/>
      <c r="J134" s="17"/>
      <c r="K134" s="11" t="str">
        <f aca="false">IF(J134="ja",1,IF(J134="nee",0,""))</f>
        <v/>
      </c>
      <c r="L134" s="17"/>
      <c r="M134" s="17"/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7"/>
      <c r="H135" s="11" t="str">
        <f aca="false">IF(G135="ja",1,IF(G135="nee",0,""))</f>
        <v/>
      </c>
      <c r="I135" s="17"/>
      <c r="J135" s="17"/>
      <c r="K135" s="11" t="str">
        <f aca="false">IF(J135="ja",1,IF(J135="nee",0,""))</f>
        <v/>
      </c>
      <c r="L135" s="17"/>
      <c r="M135" s="17"/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7"/>
      <c r="H136" s="11" t="str">
        <f aca="false">IF(G136="ja",1,IF(G136="nee",0,""))</f>
        <v/>
      </c>
      <c r="I136" s="17"/>
      <c r="J136" s="17"/>
      <c r="K136" s="11" t="str">
        <f aca="false">IF(J136="ja",1,IF(J136="nee",0,""))</f>
        <v/>
      </c>
      <c r="L136" s="17"/>
      <c r="M136" s="17"/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7"/>
      <c r="H137" s="11" t="str">
        <f aca="false">IF(G137="ja",1,IF(G137="nee",0,""))</f>
        <v/>
      </c>
      <c r="I137" s="17"/>
      <c r="J137" s="17"/>
      <c r="K137" s="11" t="str">
        <f aca="false">IF(J137="ja",1,IF(J137="nee",0,""))</f>
        <v/>
      </c>
      <c r="L137" s="17"/>
      <c r="M137" s="17"/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7"/>
      <c r="H138" s="11" t="str">
        <f aca="false">IF(G138="ja",1,IF(G138="nee",0,""))</f>
        <v/>
      </c>
      <c r="I138" s="17"/>
      <c r="J138" s="17"/>
      <c r="K138" s="11" t="str">
        <f aca="false">IF(J138="ja",1,IF(J138="nee",0,""))</f>
        <v/>
      </c>
      <c r="L138" s="17"/>
      <c r="M138" s="17"/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7"/>
      <c r="H139" s="11" t="str">
        <f aca="false">IF(G139="ja",1,IF(G139="nee",0,""))</f>
        <v/>
      </c>
      <c r="I139" s="17"/>
      <c r="J139" s="17"/>
      <c r="K139" s="11" t="str">
        <f aca="false">IF(J139="ja",1,IF(J139="nee",0,""))</f>
        <v/>
      </c>
      <c r="L139" s="17"/>
      <c r="M139" s="17"/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7"/>
      <c r="H140" s="11" t="str">
        <f aca="false">IF(G140="ja",1,IF(G140="nee",0,""))</f>
        <v/>
      </c>
      <c r="I140" s="17"/>
      <c r="J140" s="17"/>
      <c r="K140" s="11" t="str">
        <f aca="false">IF(J140="ja",1,IF(J140="nee",0,""))</f>
        <v/>
      </c>
      <c r="L140" s="17"/>
      <c r="M140" s="17"/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7"/>
      <c r="H141" s="11" t="str">
        <f aca="false">IF(G141="ja",1,IF(G141="nee",0,""))</f>
        <v/>
      </c>
      <c r="I141" s="17"/>
      <c r="J141" s="17"/>
      <c r="K141" s="11" t="str">
        <f aca="false">IF(J141="ja",1,IF(J141="nee",0,""))</f>
        <v/>
      </c>
      <c r="L141" s="17"/>
      <c r="M141" s="17"/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7"/>
      <c r="H142" s="11" t="str">
        <f aca="false">IF(G142="ja",1,IF(G142="nee",0,""))</f>
        <v/>
      </c>
      <c r="I142" s="17"/>
      <c r="J142" s="17"/>
      <c r="K142" s="11" t="str">
        <f aca="false">IF(J142="ja",1,IF(J142="nee",0,""))</f>
        <v/>
      </c>
      <c r="L142" s="17"/>
      <c r="M142" s="17"/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7"/>
      <c r="H143" s="11" t="str">
        <f aca="false">IF(G143="ja",1,IF(G143="nee",0,""))</f>
        <v/>
      </c>
      <c r="I143" s="17"/>
      <c r="J143" s="17"/>
      <c r="K143" s="11" t="str">
        <f aca="false">IF(J143="ja",1,IF(J143="nee",0,""))</f>
        <v/>
      </c>
      <c r="L143" s="17"/>
      <c r="M143" s="17"/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7"/>
      <c r="H144" s="11" t="str">
        <f aca="false">IF(G144="ja",1,IF(G144="nee",0,""))</f>
        <v/>
      </c>
      <c r="I144" s="17"/>
      <c r="J144" s="17"/>
      <c r="K144" s="11" t="str">
        <f aca="false">IF(J144="ja",1,IF(J144="nee",0,""))</f>
        <v/>
      </c>
      <c r="L144" s="17"/>
      <c r="M144" s="17"/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7"/>
      <c r="H145" s="11" t="str">
        <f aca="false">IF(G145="ja",1,IF(G145="nee",0,""))</f>
        <v/>
      </c>
      <c r="I145" s="17"/>
      <c r="J145" s="17"/>
      <c r="K145" s="11" t="str">
        <f aca="false">IF(J145="ja",1,IF(J145="nee",0,""))</f>
        <v/>
      </c>
      <c r="L145" s="17"/>
      <c r="M145" s="17"/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7"/>
      <c r="H146" s="11" t="str">
        <f aca="false">IF(G146="ja",1,IF(G146="nee",0,""))</f>
        <v/>
      </c>
      <c r="I146" s="17"/>
      <c r="J146" s="17"/>
      <c r="K146" s="11" t="str">
        <f aca="false">IF(J146="ja",1,IF(J146="nee",0,""))</f>
        <v/>
      </c>
      <c r="L146" s="17"/>
      <c r="M146" s="17"/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7"/>
      <c r="H147" s="11" t="str">
        <f aca="false">IF(G147="ja",1,IF(G147="nee",0,""))</f>
        <v/>
      </c>
      <c r="I147" s="17"/>
      <c r="J147" s="17"/>
      <c r="K147" s="11" t="str">
        <f aca="false">IF(J147="ja",1,IF(J147="nee",0,""))</f>
        <v/>
      </c>
      <c r="L147" s="17"/>
      <c r="M147" s="17"/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7"/>
      <c r="H148" s="11" t="str">
        <f aca="false">IF(G148="ja",1,IF(G148="nee",0,""))</f>
        <v/>
      </c>
      <c r="I148" s="17"/>
      <c r="J148" s="17"/>
      <c r="K148" s="11" t="str">
        <f aca="false">IF(J148="ja",1,IF(J148="nee",0,""))</f>
        <v/>
      </c>
      <c r="L148" s="17"/>
      <c r="M148" s="17"/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7"/>
      <c r="H149" s="11" t="str">
        <f aca="false">IF(G149="ja",1,IF(G149="nee",0,""))</f>
        <v/>
      </c>
      <c r="I149" s="17"/>
      <c r="J149" s="17"/>
      <c r="K149" s="11" t="str">
        <f aca="false">IF(J149="ja",1,IF(J149="nee",0,""))</f>
        <v/>
      </c>
      <c r="L149" s="17"/>
      <c r="M149" s="17"/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7"/>
      <c r="H150" s="11" t="str">
        <f aca="false">IF(G150="ja",1,IF(G150="nee",0,""))</f>
        <v/>
      </c>
      <c r="I150" s="17"/>
      <c r="J150" s="17"/>
      <c r="K150" s="11" t="str">
        <f aca="false">IF(J150="ja",1,IF(J150="nee",0,""))</f>
        <v/>
      </c>
      <c r="L150" s="17"/>
      <c r="M150" s="17"/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7"/>
      <c r="H151" s="11" t="str">
        <f aca="false">IF(G151="ja",1,IF(G151="nee",0,""))</f>
        <v/>
      </c>
      <c r="I151" s="17"/>
      <c r="J151" s="17"/>
      <c r="K151" s="11" t="str">
        <f aca="false">IF(J151="ja",1,IF(J151="nee",0,""))</f>
        <v/>
      </c>
      <c r="L151" s="17"/>
      <c r="M151" s="17"/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7"/>
      <c r="H152" s="11" t="str">
        <f aca="false">IF(G152="ja",1,IF(G152="nee",0,""))</f>
        <v/>
      </c>
      <c r="I152" s="17"/>
      <c r="J152" s="17"/>
      <c r="K152" s="11" t="str">
        <f aca="false">IF(J152="ja",1,IF(J152="nee",0,""))</f>
        <v/>
      </c>
      <c r="L152" s="17"/>
      <c r="M152" s="17"/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7"/>
      <c r="H153" s="11" t="str">
        <f aca="false">IF(G153="ja",1,IF(G153="nee",0,""))</f>
        <v/>
      </c>
      <c r="I153" s="17"/>
      <c r="J153" s="17"/>
      <c r="K153" s="11" t="str">
        <f aca="false">IF(J153="ja",1,IF(J153="nee",0,""))</f>
        <v/>
      </c>
      <c r="L153" s="17"/>
      <c r="M153" s="17"/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7"/>
      <c r="H154" s="11" t="str">
        <f aca="false">IF(G154="ja",1,IF(G154="nee",0,""))</f>
        <v/>
      </c>
      <c r="I154" s="17"/>
      <c r="J154" s="17"/>
      <c r="K154" s="11" t="str">
        <f aca="false">IF(J154="ja",1,IF(J154="nee",0,""))</f>
        <v/>
      </c>
      <c r="L154" s="17"/>
      <c r="M154" s="17"/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7"/>
      <c r="H155" s="11" t="str">
        <f aca="false">IF(G155="ja",1,IF(G155="nee",0,""))</f>
        <v/>
      </c>
      <c r="I155" s="17"/>
      <c r="J155" s="17"/>
      <c r="K155" s="11" t="str">
        <f aca="false">IF(J155="ja",1,IF(J155="nee",0,""))</f>
        <v/>
      </c>
      <c r="L155" s="17"/>
      <c r="M155" s="17"/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7"/>
      <c r="H156" s="11" t="str">
        <f aca="false">IF(G156="ja",1,IF(G156="nee",0,""))</f>
        <v/>
      </c>
      <c r="I156" s="17"/>
      <c r="J156" s="17"/>
      <c r="K156" s="11" t="str">
        <f aca="false">IF(J156="ja",1,IF(J156="nee",0,""))</f>
        <v/>
      </c>
      <c r="L156" s="17"/>
      <c r="M156" s="17"/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7"/>
      <c r="H157" s="11" t="str">
        <f aca="false">IF(G157="ja",1,IF(G157="nee",0,""))</f>
        <v/>
      </c>
      <c r="I157" s="17"/>
      <c r="J157" s="17"/>
      <c r="K157" s="11" t="str">
        <f aca="false">IF(J157="ja",1,IF(J157="nee",0,""))</f>
        <v/>
      </c>
      <c r="L157" s="17"/>
      <c r="M157" s="17"/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7"/>
      <c r="H158" s="11" t="str">
        <f aca="false">IF(G158="ja",1,IF(G158="nee",0,""))</f>
        <v/>
      </c>
      <c r="I158" s="17"/>
      <c r="J158" s="17"/>
      <c r="K158" s="11" t="str">
        <f aca="false">IF(J158="ja",1,IF(J158="nee",0,""))</f>
        <v/>
      </c>
      <c r="L158" s="17"/>
      <c r="M158" s="17"/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7"/>
      <c r="H159" s="11" t="str">
        <f aca="false">IF(G159="ja",1,IF(G159="nee",0,""))</f>
        <v/>
      </c>
      <c r="I159" s="17"/>
      <c r="J159" s="17"/>
      <c r="K159" s="11" t="str">
        <f aca="false">IF(J159="ja",1,IF(J159="nee",0,""))</f>
        <v/>
      </c>
      <c r="L159" s="17"/>
      <c r="M159" s="17"/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7"/>
      <c r="H160" s="11" t="str">
        <f aca="false">IF(G160="ja",1,IF(G160="nee",0,""))</f>
        <v/>
      </c>
      <c r="I160" s="17"/>
      <c r="J160" s="17"/>
      <c r="K160" s="11" t="str">
        <f aca="false">IF(J160="ja",1,IF(J160="nee",0,""))</f>
        <v/>
      </c>
      <c r="L160" s="17"/>
      <c r="M160" s="17"/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7"/>
      <c r="H161" s="11" t="str">
        <f aca="false">IF(G161="ja",1,IF(G161="nee",0,""))</f>
        <v/>
      </c>
      <c r="I161" s="17"/>
      <c r="J161" s="17"/>
      <c r="K161" s="11" t="str">
        <f aca="false">IF(J161="ja",1,IF(J161="nee",0,""))</f>
        <v/>
      </c>
      <c r="L161" s="17"/>
      <c r="M161" s="17"/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7"/>
      <c r="H162" s="11" t="str">
        <f aca="false">IF(G162="ja",1,IF(G162="nee",0,""))</f>
        <v/>
      </c>
      <c r="I162" s="17"/>
      <c r="J162" s="17"/>
      <c r="K162" s="11" t="str">
        <f aca="false">IF(J162="ja",1,IF(J162="nee",0,""))</f>
        <v/>
      </c>
      <c r="L162" s="17"/>
      <c r="M162" s="17"/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7"/>
      <c r="H163" s="11" t="str">
        <f aca="false">IF(G163="ja",1,IF(G163="nee",0,""))</f>
        <v/>
      </c>
      <c r="I163" s="17"/>
      <c r="J163" s="17"/>
      <c r="K163" s="11" t="str">
        <f aca="false">IF(J163="ja",1,IF(J163="nee",0,""))</f>
        <v/>
      </c>
      <c r="L163" s="17"/>
      <c r="M163" s="17"/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7"/>
      <c r="H164" s="11" t="str">
        <f aca="false">IF(G164="ja",1,IF(G164="nee",0,""))</f>
        <v/>
      </c>
      <c r="I164" s="17"/>
      <c r="J164" s="17"/>
      <c r="K164" s="11" t="str">
        <f aca="false">IF(J164="ja",1,IF(J164="nee",0,""))</f>
        <v/>
      </c>
      <c r="L164" s="17"/>
      <c r="M164" s="17"/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7"/>
      <c r="H165" s="11" t="str">
        <f aca="false">IF(G165="ja",1,IF(G165="nee",0,""))</f>
        <v/>
      </c>
      <c r="I165" s="17"/>
      <c r="J165" s="17"/>
      <c r="K165" s="11" t="str">
        <f aca="false">IF(J165="ja",1,IF(J165="nee",0,""))</f>
        <v/>
      </c>
      <c r="L165" s="17"/>
      <c r="M165" s="17"/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7"/>
      <c r="H166" s="11" t="str">
        <f aca="false">IF(G166="ja",1,IF(G166="nee",0,""))</f>
        <v/>
      </c>
      <c r="I166" s="17"/>
      <c r="J166" s="17"/>
      <c r="K166" s="11" t="str">
        <f aca="false">IF(J166="ja",1,IF(J166="nee",0,""))</f>
        <v/>
      </c>
      <c r="L166" s="17"/>
      <c r="M166" s="17"/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7"/>
      <c r="H167" s="11" t="str">
        <f aca="false">IF(G167="ja",1,IF(G167="nee",0,""))</f>
        <v/>
      </c>
      <c r="I167" s="17"/>
      <c r="J167" s="17"/>
      <c r="K167" s="11" t="str">
        <f aca="false">IF(J167="ja",1,IF(J167="nee",0,""))</f>
        <v/>
      </c>
      <c r="L167" s="17"/>
      <c r="M167" s="17"/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7"/>
      <c r="H168" s="11" t="str">
        <f aca="false">IF(G168="ja",1,IF(G168="nee",0,""))</f>
        <v/>
      </c>
      <c r="I168" s="17"/>
      <c r="J168" s="17"/>
      <c r="K168" s="11" t="str">
        <f aca="false">IF(J168="ja",1,IF(J168="nee",0,""))</f>
        <v/>
      </c>
      <c r="L168" s="17"/>
      <c r="M168" s="17"/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7"/>
      <c r="H169" s="11" t="str">
        <f aca="false">IF(G169="ja",1,IF(G169="nee",0,""))</f>
        <v/>
      </c>
      <c r="I169" s="17"/>
      <c r="J169" s="17"/>
      <c r="K169" s="11" t="str">
        <f aca="false">IF(J169="ja",1,IF(J169="nee",0,""))</f>
        <v/>
      </c>
      <c r="L169" s="17"/>
      <c r="M169" s="17"/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7"/>
      <c r="H170" s="11" t="str">
        <f aca="false">IF(G170="ja",1,IF(G170="nee",0,""))</f>
        <v/>
      </c>
      <c r="I170" s="17"/>
      <c r="J170" s="17"/>
      <c r="K170" s="11" t="str">
        <f aca="false">IF(J170="ja",1,IF(J170="nee",0,""))</f>
        <v/>
      </c>
      <c r="L170" s="17"/>
      <c r="M170" s="17"/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7"/>
      <c r="H171" s="11" t="str">
        <f aca="false">IF(G171="ja",1,IF(G171="nee",0,""))</f>
        <v/>
      </c>
      <c r="I171" s="17"/>
      <c r="J171" s="17"/>
      <c r="K171" s="11" t="str">
        <f aca="false">IF(J171="ja",1,IF(J171="nee",0,""))</f>
        <v/>
      </c>
      <c r="L171" s="17"/>
      <c r="M171" s="17"/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7"/>
      <c r="H172" s="11" t="str">
        <f aca="false">IF(G172="ja",1,IF(G172="nee",0,""))</f>
        <v/>
      </c>
      <c r="I172" s="17"/>
      <c r="J172" s="17"/>
      <c r="K172" s="11" t="str">
        <f aca="false">IF(J172="ja",1,IF(J172="nee",0,""))</f>
        <v/>
      </c>
      <c r="L172" s="17"/>
      <c r="M172" s="17"/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7"/>
      <c r="H173" s="11" t="str">
        <f aca="false">IF(G173="ja",1,IF(G173="nee",0,""))</f>
        <v/>
      </c>
      <c r="I173" s="17"/>
      <c r="J173" s="17"/>
      <c r="K173" s="11" t="str">
        <f aca="false">IF(J173="ja",1,IF(J173="nee",0,""))</f>
        <v/>
      </c>
      <c r="L173" s="17"/>
      <c r="M173" s="17"/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7"/>
      <c r="H174" s="11" t="str">
        <f aca="false">IF(G174="ja",1,IF(G174="nee",0,""))</f>
        <v/>
      </c>
      <c r="I174" s="17"/>
      <c r="J174" s="17"/>
      <c r="K174" s="11" t="str">
        <f aca="false">IF(J174="ja",1,IF(J174="nee",0,""))</f>
        <v/>
      </c>
      <c r="L174" s="17"/>
      <c r="M174" s="17"/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7"/>
      <c r="H175" s="11" t="str">
        <f aca="false">IF(G175="ja",1,IF(G175="nee",0,""))</f>
        <v/>
      </c>
      <c r="I175" s="17"/>
      <c r="J175" s="17"/>
      <c r="K175" s="11" t="str">
        <f aca="false">IF(J175="ja",1,IF(J175="nee",0,""))</f>
        <v/>
      </c>
      <c r="L175" s="17"/>
      <c r="M175" s="17"/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7"/>
      <c r="H176" s="11" t="str">
        <f aca="false">IF(G176="ja",1,IF(G176="nee",0,""))</f>
        <v/>
      </c>
      <c r="I176" s="17"/>
      <c r="J176" s="17"/>
      <c r="K176" s="11" t="str">
        <f aca="false">IF(J176="ja",1,IF(J176="nee",0,""))</f>
        <v/>
      </c>
      <c r="L176" s="17"/>
      <c r="M176" s="17"/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7"/>
      <c r="H177" s="11" t="str">
        <f aca="false">IF(G177="ja",1,IF(G177="nee",0,""))</f>
        <v/>
      </c>
      <c r="I177" s="17"/>
      <c r="J177" s="17"/>
      <c r="K177" s="11" t="str">
        <f aca="false">IF(J177="ja",1,IF(J177="nee",0,""))</f>
        <v/>
      </c>
      <c r="L177" s="17"/>
      <c r="M177" s="17"/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7"/>
      <c r="H178" s="11" t="str">
        <f aca="false">IF(G178="ja",1,IF(G178="nee",0,""))</f>
        <v/>
      </c>
      <c r="I178" s="17"/>
      <c r="J178" s="17"/>
      <c r="K178" s="11" t="str">
        <f aca="false">IF(J178="ja",1,IF(J178="nee",0,""))</f>
        <v/>
      </c>
      <c r="L178" s="17"/>
      <c r="M178" s="17"/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7"/>
      <c r="H179" s="11" t="str">
        <f aca="false">IF(G179="ja",1,IF(G179="nee",0,""))</f>
        <v/>
      </c>
      <c r="I179" s="17"/>
      <c r="J179" s="17"/>
      <c r="K179" s="11" t="str">
        <f aca="false">IF(J179="ja",1,IF(J179="nee",0,""))</f>
        <v/>
      </c>
      <c r="L179" s="17"/>
      <c r="M179" s="17"/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7"/>
      <c r="H180" s="11" t="str">
        <f aca="false">IF(G180="ja",1,IF(G180="nee",0,""))</f>
        <v/>
      </c>
      <c r="I180" s="17"/>
      <c r="J180" s="17"/>
      <c r="K180" s="11" t="str">
        <f aca="false">IF(J180="ja",1,IF(J180="nee",0,""))</f>
        <v/>
      </c>
      <c r="L180" s="17"/>
      <c r="M180" s="17"/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7"/>
      <c r="H181" s="11" t="str">
        <f aca="false">IF(G181="ja",1,IF(G181="nee",0,""))</f>
        <v/>
      </c>
      <c r="I181" s="17"/>
      <c r="J181" s="17"/>
      <c r="K181" s="11" t="str">
        <f aca="false">IF(J181="ja",1,IF(J181="nee",0,""))</f>
        <v/>
      </c>
      <c r="L181" s="17"/>
      <c r="M181" s="17"/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7"/>
      <c r="H182" s="11" t="str">
        <f aca="false">IF(G182="ja",1,IF(G182="nee",0,""))</f>
        <v/>
      </c>
      <c r="I182" s="17"/>
      <c r="J182" s="17"/>
      <c r="K182" s="11" t="str">
        <f aca="false">IF(J182="ja",1,IF(J182="nee",0,""))</f>
        <v/>
      </c>
      <c r="L182" s="17"/>
      <c r="M182" s="17"/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7"/>
      <c r="H183" s="11" t="str">
        <f aca="false">IF(G183="ja",1,IF(G183="nee",0,""))</f>
        <v/>
      </c>
      <c r="I183" s="17"/>
      <c r="J183" s="17"/>
      <c r="K183" s="11" t="str">
        <f aca="false">IF(J183="ja",1,IF(J183="nee",0,""))</f>
        <v/>
      </c>
      <c r="L183" s="17"/>
      <c r="M183" s="17"/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7"/>
      <c r="H184" s="11" t="str">
        <f aca="false">IF(G184="ja",1,IF(G184="nee",0,""))</f>
        <v/>
      </c>
      <c r="I184" s="17"/>
      <c r="J184" s="17"/>
      <c r="K184" s="11" t="str">
        <f aca="false">IF(J184="ja",1,IF(J184="nee",0,""))</f>
        <v/>
      </c>
      <c r="L184" s="17"/>
      <c r="M184" s="17"/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7"/>
      <c r="H185" s="11" t="str">
        <f aca="false">IF(G185="ja",1,IF(G185="nee",0,""))</f>
        <v/>
      </c>
      <c r="I185" s="17"/>
      <c r="J185" s="17"/>
      <c r="K185" s="11" t="str">
        <f aca="false">IF(J185="ja",1,IF(J185="nee",0,""))</f>
        <v/>
      </c>
      <c r="L185" s="17"/>
      <c r="M185" s="17"/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7"/>
      <c r="H186" s="11" t="str">
        <f aca="false">IF(G186="ja",1,IF(G186="nee",0,""))</f>
        <v/>
      </c>
      <c r="I186" s="17"/>
      <c r="J186" s="17"/>
      <c r="K186" s="11" t="str">
        <f aca="false">IF(J186="ja",1,IF(J186="nee",0,""))</f>
        <v/>
      </c>
      <c r="L186" s="17"/>
      <c r="M186" s="17"/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7"/>
      <c r="H187" s="11" t="str">
        <f aca="false">IF(G187="ja",1,IF(G187="nee",0,""))</f>
        <v/>
      </c>
      <c r="I187" s="17"/>
      <c r="J187" s="17"/>
      <c r="K187" s="11" t="str">
        <f aca="false">IF(J187="ja",1,IF(J187="nee",0,""))</f>
        <v/>
      </c>
      <c r="L187" s="17"/>
      <c r="M187" s="17"/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7"/>
      <c r="H188" s="11" t="str">
        <f aca="false">IF(G188="ja",1,IF(G188="nee",0,""))</f>
        <v/>
      </c>
      <c r="I188" s="17"/>
      <c r="J188" s="17"/>
      <c r="K188" s="11" t="str">
        <f aca="false">IF(J188="ja",1,IF(J188="nee",0,""))</f>
        <v/>
      </c>
      <c r="L188" s="17"/>
      <c r="M188" s="17"/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7"/>
      <c r="H189" s="11" t="str">
        <f aca="false">IF(G189="ja",1,IF(G189="nee",0,""))</f>
        <v/>
      </c>
      <c r="I189" s="17"/>
      <c r="J189" s="17"/>
      <c r="K189" s="11" t="str">
        <f aca="false">IF(J189="ja",1,IF(J189="nee",0,""))</f>
        <v/>
      </c>
      <c r="L189" s="17"/>
      <c r="M189" s="17"/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7"/>
      <c r="H190" s="11" t="str">
        <f aca="false">IF(G190="ja",1,IF(G190="nee",0,""))</f>
        <v/>
      </c>
      <c r="I190" s="17"/>
      <c r="J190" s="17"/>
      <c r="K190" s="11" t="str">
        <f aca="false">IF(J190="ja",1,IF(J190="nee",0,""))</f>
        <v/>
      </c>
      <c r="L190" s="17"/>
      <c r="M190" s="17"/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7"/>
      <c r="H191" s="11" t="str">
        <f aca="false">IF(G191="ja",1,IF(G191="nee",0,""))</f>
        <v/>
      </c>
      <c r="I191" s="17"/>
      <c r="J191" s="17"/>
      <c r="K191" s="11" t="str">
        <f aca="false">IF(J191="ja",1,IF(J191="nee",0,""))</f>
        <v/>
      </c>
      <c r="L191" s="17"/>
      <c r="M191" s="17"/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7"/>
      <c r="H192" s="11" t="str">
        <f aca="false">IF(G192="ja",1,IF(G192="nee",0,""))</f>
        <v/>
      </c>
      <c r="I192" s="17"/>
      <c r="J192" s="17"/>
      <c r="K192" s="11" t="str">
        <f aca="false">IF(J192="ja",1,IF(J192="nee",0,""))</f>
        <v/>
      </c>
      <c r="L192" s="17"/>
      <c r="M192" s="17"/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7"/>
      <c r="H193" s="11" t="str">
        <f aca="false">IF(G193="ja",1,IF(G193="nee",0,""))</f>
        <v/>
      </c>
      <c r="I193" s="17"/>
      <c r="J193" s="17"/>
      <c r="K193" s="11" t="str">
        <f aca="false">IF(J193="ja",1,IF(J193="nee",0,""))</f>
        <v/>
      </c>
      <c r="L193" s="17"/>
      <c r="M193" s="17"/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7"/>
      <c r="H194" s="11" t="str">
        <f aca="false">IF(G194="ja",1,IF(G194="nee",0,""))</f>
        <v/>
      </c>
      <c r="I194" s="17"/>
      <c r="J194" s="17"/>
      <c r="K194" s="11" t="str">
        <f aca="false">IF(J194="ja",1,IF(J194="nee",0,""))</f>
        <v/>
      </c>
      <c r="L194" s="17"/>
      <c r="M194" s="17"/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7"/>
      <c r="H195" s="11" t="str">
        <f aca="false">IF(G195="ja",1,IF(G195="nee",0,""))</f>
        <v/>
      </c>
      <c r="I195" s="17"/>
      <c r="J195" s="17"/>
      <c r="K195" s="11" t="str">
        <f aca="false">IF(J195="ja",1,IF(J195="nee",0,""))</f>
        <v/>
      </c>
      <c r="L195" s="17"/>
      <c r="M195" s="17"/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7"/>
      <c r="H196" s="11" t="str">
        <f aca="false">IF(G196="ja",1,IF(G196="nee",0,""))</f>
        <v/>
      </c>
      <c r="I196" s="17"/>
      <c r="J196" s="17"/>
      <c r="K196" s="11" t="str">
        <f aca="false">IF(J196="ja",1,IF(J196="nee",0,""))</f>
        <v/>
      </c>
      <c r="L196" s="17"/>
      <c r="M196" s="17"/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7"/>
      <c r="H197" s="11" t="str">
        <f aca="false">IF(G197="ja",1,IF(G197="nee",0,""))</f>
        <v/>
      </c>
      <c r="I197" s="17"/>
      <c r="J197" s="17"/>
      <c r="K197" s="11" t="str">
        <f aca="false">IF(J197="ja",1,IF(J197="nee",0,""))</f>
        <v/>
      </c>
      <c r="L197" s="17"/>
      <c r="M197" s="17"/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7"/>
      <c r="H198" s="11" t="str">
        <f aca="false">IF(G198="ja",1,IF(G198="nee",0,""))</f>
        <v/>
      </c>
      <c r="I198" s="17"/>
      <c r="J198" s="17"/>
      <c r="K198" s="11" t="str">
        <f aca="false">IF(J198="ja",1,IF(J198="nee",0,""))</f>
        <v/>
      </c>
      <c r="L198" s="17"/>
      <c r="M198" s="17"/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7"/>
      <c r="H199" s="11" t="str">
        <f aca="false">IF(G199="ja",1,IF(G199="nee",0,""))</f>
        <v/>
      </c>
      <c r="I199" s="17"/>
      <c r="J199" s="17"/>
      <c r="K199" s="11" t="str">
        <f aca="false">IF(J199="ja",1,IF(J199="nee",0,""))</f>
        <v/>
      </c>
      <c r="L199" s="17"/>
      <c r="M199" s="17"/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7"/>
      <c r="H200" s="11" t="str">
        <f aca="false">IF(G200="ja",1,IF(G200="nee",0,""))</f>
        <v/>
      </c>
      <c r="I200" s="17"/>
      <c r="J200" s="17"/>
      <c r="K200" s="11" t="str">
        <f aca="false">IF(J200="ja",1,IF(J200="nee",0,""))</f>
        <v/>
      </c>
      <c r="L200" s="17"/>
      <c r="M200" s="17"/>
    </row>
    <row r="201" customFormat="false" ht="15" hidden="false" customHeight="false" outlineLevel="0" collapsed="false">
      <c r="A201" s="16"/>
      <c r="B201" s="17"/>
      <c r="C201" s="17"/>
      <c r="D201" s="17"/>
      <c r="E201" s="17"/>
      <c r="F201" s="17"/>
      <c r="G201" s="17"/>
      <c r="H201" s="11" t="str">
        <f aca="false">IF(G201="ja",1,IF(G201="nee",0,""))</f>
        <v/>
      </c>
      <c r="I201" s="17"/>
      <c r="J201" s="17"/>
      <c r="K201" s="11" t="str">
        <f aca="false">IF(J201="ja",1,IF(J201="nee",0,""))</f>
        <v/>
      </c>
      <c r="L201" s="17"/>
      <c r="M201" s="17"/>
    </row>
    <row r="202" customFormat="false" ht="15" hidden="false" customHeight="false" outlineLevel="0" collapsed="false">
      <c r="A202" s="16"/>
      <c r="B202" s="17"/>
      <c r="C202" s="17"/>
      <c r="D202" s="17"/>
      <c r="E202" s="17"/>
      <c r="F202" s="17"/>
      <c r="G202" s="17"/>
      <c r="H202" s="11" t="str">
        <f aca="false">IF(G202="ja",1,IF(G202="nee",0,""))</f>
        <v/>
      </c>
      <c r="I202" s="17"/>
      <c r="J202" s="17"/>
      <c r="K202" s="11" t="str">
        <f aca="false">IF(J202="ja",1,IF(J202="nee",0,""))</f>
        <v/>
      </c>
      <c r="L202" s="17"/>
      <c r="M202" s="17"/>
    </row>
    <row r="203" customFormat="false" ht="15" hidden="false" customHeight="false" outlineLevel="0" collapsed="false">
      <c r="A203" s="16"/>
      <c r="B203" s="17"/>
      <c r="C203" s="17"/>
      <c r="D203" s="17"/>
      <c r="E203" s="17"/>
      <c r="F203" s="17"/>
      <c r="G203" s="17"/>
      <c r="H203" s="11" t="str">
        <f aca="false">IF(G203="ja",1,IF(G203="nee",0,""))</f>
        <v/>
      </c>
      <c r="I203" s="17"/>
      <c r="J203" s="17"/>
      <c r="K203" s="11" t="str">
        <f aca="false">IF(J203="ja",1,IF(J203="nee",0,""))</f>
        <v/>
      </c>
      <c r="L203" s="17"/>
      <c r="M203" s="17"/>
    </row>
    <row r="204" customFormat="false" ht="15" hidden="false" customHeight="false" outlineLevel="0" collapsed="false">
      <c r="A204" s="16"/>
      <c r="B204" s="17"/>
      <c r="C204" s="17"/>
      <c r="D204" s="17"/>
      <c r="E204" s="17"/>
      <c r="F204" s="17"/>
      <c r="G204" s="17"/>
      <c r="H204" s="11" t="str">
        <f aca="false">IF(G204="ja",1,IF(G204="nee",0,""))</f>
        <v/>
      </c>
      <c r="I204" s="17"/>
      <c r="J204" s="17"/>
      <c r="K204" s="11" t="str">
        <f aca="false">IF(J204="ja",1,IF(J204="nee",0,""))</f>
        <v/>
      </c>
      <c r="L204" s="17"/>
      <c r="M204" s="17"/>
    </row>
    <row r="205" customFormat="false" ht="15" hidden="false" customHeight="false" outlineLevel="0" collapsed="false">
      <c r="A205" s="16"/>
      <c r="B205" s="17"/>
      <c r="C205" s="17"/>
      <c r="D205" s="17"/>
      <c r="E205" s="17"/>
      <c r="F205" s="17"/>
      <c r="G205" s="17"/>
      <c r="H205" s="11" t="str">
        <f aca="false">IF(G205="ja",1,IF(G205="nee",0,""))</f>
        <v/>
      </c>
      <c r="I205" s="17"/>
      <c r="J205" s="17"/>
      <c r="K205" s="11" t="str">
        <f aca="false">IF(J205="ja",1,IF(J205="nee",0,""))</f>
        <v/>
      </c>
      <c r="L205" s="17"/>
      <c r="M205" s="17"/>
    </row>
  </sheetData>
  <autoFilter ref="A4:M205"/>
  <mergeCells count="1">
    <mergeCell ref="A2:M2"/>
  </mergeCells>
  <dataValidations count="3">
    <dataValidation allowBlank="true" errorStyle="stop" operator="between" showDropDown="false" showErrorMessage="false" showInputMessage="false" sqref="C5:C205" type="list">
      <formula1>"ChatGPT,Gemini,Perplexity,Claude,Google AI Overview"</formula1>
      <formula2>0</formula2>
    </dataValidation>
    <dataValidation allowBlank="true" errorStyle="stop" operator="between" showDropDown="false" showErrorMessage="false" showInputMessage="false" sqref="G5:G205 J5:J205" type="list">
      <formula1>"ja,nee"</formula1>
      <formula2>0</formula2>
    </dataValidation>
    <dataValidation allowBlank="true" errorStyle="stop" operator="between" showDropDown="false" showErrorMessage="false" showInputMessage="false" sqref="E5:E205" type="list">
      <formula1>"ES,UK,IE,DE,AT,CH,NL,US"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158</v>
      </c>
    </row>
    <row r="2" customFormat="false" ht="30" hidden="false" customHeight="true" outlineLevel="0" collapsed="false">
      <c r="A2" s="2" t="s">
        <v>159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140</v>
      </c>
      <c r="B4" s="3" t="s">
        <v>81</v>
      </c>
      <c r="C4" s="3" t="s">
        <v>160</v>
      </c>
      <c r="D4" s="3" t="s">
        <v>161</v>
      </c>
      <c r="E4" s="3" t="s">
        <v>162</v>
      </c>
      <c r="F4" s="3" t="s">
        <v>163</v>
      </c>
    </row>
    <row r="5" customFormat="false" ht="15" hidden="false" customHeight="false" outlineLevel="0" collapsed="false">
      <c r="A5" s="11" t="s">
        <v>152</v>
      </c>
      <c r="B5" s="11" t="s">
        <v>85</v>
      </c>
      <c r="C5" s="11" t="n">
        <f aca="false">SUMPRODUCT((Meetlog!$B$5:$B$205=A5)*(LEFT(Meetlog!$D$5:$D$205,2)=B5)*ISNUMBER(Meetlog!$H$5:$H$205))</f>
        <v>1</v>
      </c>
      <c r="D5" s="11" t="n">
        <f aca="false">SUMPRODUCT((Meetlog!$B$5:$B$205=A5)*(LEFT(Meetlog!$D$5:$D$205,2)=B5)*ISNUMBER(Meetlog!$H$5:$H$205)*(Meetlog!$H$5:$H$205=1))</f>
        <v>0</v>
      </c>
      <c r="E5" s="12" t="n">
        <f aca="false">IF(C5=0,"",D5/C5)</f>
        <v>0</v>
      </c>
      <c r="F5" s="12" t="n">
        <f aca="false">IF(C5=0,"",SUMPRODUCT((Meetlog!$B$5:$B$205=A5)*(LEFT(Meetlog!$D$5:$D$205,2)=B5)*ISNUMBER(Meetlog!$K$5:$K$205)*(Meetlog!$K$5:$K$205=1))/C5)</f>
        <v>0</v>
      </c>
    </row>
    <row r="6" customFormat="false" ht="15" hidden="false" customHeight="false" outlineLevel="0" collapsed="false">
      <c r="A6" s="11" t="s">
        <v>152</v>
      </c>
      <c r="B6" s="11" t="s">
        <v>113</v>
      </c>
      <c r="C6" s="11" t="n">
        <f aca="false">SUMPRODUCT((Meetlog!$B$5:$B$205=A6)*(LEFT(Meetlog!$D$5:$D$205,2)=B6)*ISNUMBER(Meetlog!$H$5:$H$205))</f>
        <v>0</v>
      </c>
      <c r="D6" s="11" t="n">
        <f aca="false">SUMPRODUCT((Meetlog!$B$5:$B$205=A6)*(LEFT(Meetlog!$D$5:$D$205,2)=B6)*ISNUMBER(Meetlog!$H$5:$H$205)*(Meetlog!$H$5:$H$205=1))</f>
        <v>0</v>
      </c>
      <c r="E6" s="12" t="str">
        <f aca="false">IF(C6=0,"",D6/C6)</f>
        <v/>
      </c>
      <c r="F6" s="12" t="str">
        <f aca="false">IF(C6=0,"",SUMPRODUCT((Meetlog!$B$5:$B$205=A6)*(LEFT(Meetlog!$D$5:$D$205,2)=B6)*ISNUMBER(Meetlog!$K$5:$K$205)*(Meetlog!$K$5:$K$205=1))/C6)</f>
        <v/>
      </c>
    </row>
    <row r="7" customFormat="false" ht="15" hidden="false" customHeight="false" outlineLevel="0" collapsed="false">
      <c r="A7" s="11" t="s">
        <v>164</v>
      </c>
      <c r="B7" s="11" t="s">
        <v>85</v>
      </c>
      <c r="C7" s="11" t="n">
        <f aca="false">SUMPRODUCT((Meetlog!$B$5:$B$205=A7)*(LEFT(Meetlog!$D$5:$D$205,2)=B7)*ISNUMBER(Meetlog!$H$5:$H$205))</f>
        <v>0</v>
      </c>
      <c r="D7" s="11" t="n">
        <f aca="false">SUMPRODUCT((Meetlog!$B$5:$B$205=A7)*(LEFT(Meetlog!$D$5:$D$205,2)=B7)*ISNUMBER(Meetlog!$H$5:$H$205)*(Meetlog!$H$5:$H$205=1))</f>
        <v>0</v>
      </c>
      <c r="E7" s="12" t="str">
        <f aca="false">IF(C7=0,"",D7/C7)</f>
        <v/>
      </c>
      <c r="F7" s="12" t="str">
        <f aca="false">IF(C7=0,"",SUMPRODUCT((Meetlog!$B$5:$B$205=A7)*(LEFT(Meetlog!$D$5:$D$205,2)=B7)*ISNUMBER(Meetlog!$K$5:$K$205)*(Meetlog!$K$5:$K$205=1))/C7)</f>
        <v/>
      </c>
    </row>
    <row r="8" customFormat="false" ht="15" hidden="false" customHeight="false" outlineLevel="0" collapsed="false">
      <c r="A8" s="11" t="s">
        <v>164</v>
      </c>
      <c r="B8" s="11" t="s">
        <v>113</v>
      </c>
      <c r="C8" s="11" t="n">
        <f aca="false">SUMPRODUCT((Meetlog!$B$5:$B$205=A8)*(LEFT(Meetlog!$D$5:$D$205,2)=B8)*ISNUMBER(Meetlog!$H$5:$H$205))</f>
        <v>0</v>
      </c>
      <c r="D8" s="11" t="n">
        <f aca="false">SUMPRODUCT((Meetlog!$B$5:$B$205=A8)*(LEFT(Meetlog!$D$5:$D$205,2)=B8)*ISNUMBER(Meetlog!$H$5:$H$205)*(Meetlog!$H$5:$H$205=1))</f>
        <v>0</v>
      </c>
      <c r="E8" s="12" t="str">
        <f aca="false">IF(C8=0,"",D8/C8)</f>
        <v/>
      </c>
      <c r="F8" s="12" t="str">
        <f aca="false">IF(C8=0,"",SUMPRODUCT((Meetlog!$B$5:$B$205=A8)*(LEFT(Meetlog!$D$5:$D$205,2)=B8)*ISNUMBER(Meetlog!$K$5:$K$205)*(Meetlog!$K$5:$K$205=1))/C8)</f>
        <v/>
      </c>
    </row>
    <row r="9" customFormat="false" ht="15" hidden="false" customHeight="false" outlineLevel="0" collapsed="false">
      <c r="A9" s="11" t="s">
        <v>165</v>
      </c>
      <c r="B9" s="11" t="s">
        <v>85</v>
      </c>
      <c r="C9" s="11" t="n">
        <f aca="false">SUMPRODUCT((Meetlog!$B$5:$B$205=A9)*(LEFT(Meetlog!$D$5:$D$205,2)=B9)*ISNUMBER(Meetlog!$H$5:$H$205))</f>
        <v>0</v>
      </c>
      <c r="D9" s="11" t="n">
        <f aca="false">SUMPRODUCT((Meetlog!$B$5:$B$205=A9)*(LEFT(Meetlog!$D$5:$D$205,2)=B9)*ISNUMBER(Meetlog!$H$5:$H$205)*(Meetlog!$H$5:$H$205=1))</f>
        <v>0</v>
      </c>
      <c r="E9" s="12" t="str">
        <f aca="false">IF(C9=0,"",D9/C9)</f>
        <v/>
      </c>
      <c r="F9" s="12" t="str">
        <f aca="false">IF(C9=0,"",SUMPRODUCT((Meetlog!$B$5:$B$205=A9)*(LEFT(Meetlog!$D$5:$D$205,2)=B9)*ISNUMBER(Meetlog!$K$5:$K$205)*(Meetlog!$K$5:$K$205=1))/C9)</f>
        <v/>
      </c>
    </row>
    <row r="10" customFormat="false" ht="15" hidden="false" customHeight="false" outlineLevel="0" collapsed="false">
      <c r="A10" s="11" t="s">
        <v>165</v>
      </c>
      <c r="B10" s="11" t="s">
        <v>113</v>
      </c>
      <c r="C10" s="11" t="n">
        <f aca="false">SUMPRODUCT((Meetlog!$B$5:$B$205=A10)*(LEFT(Meetlog!$D$5:$D$205,2)=B10)*ISNUMBER(Meetlog!$H$5:$H$205))</f>
        <v>0</v>
      </c>
      <c r="D10" s="11" t="n">
        <f aca="false">SUMPRODUCT((Meetlog!$B$5:$B$205=A10)*(LEFT(Meetlog!$D$5:$D$205,2)=B10)*ISNUMBER(Meetlog!$H$5:$H$205)*(Meetlog!$H$5:$H$205=1))</f>
        <v>0</v>
      </c>
      <c r="E10" s="12" t="str">
        <f aca="false">IF(C10=0,"",D10/C10)</f>
        <v/>
      </c>
      <c r="F10" s="12" t="str">
        <f aca="false">IF(C10=0,"",SUMPRODUCT((Meetlog!$B$5:$B$205=A10)*(LEFT(Meetlog!$D$5:$D$205,2)=B10)*ISNUMBER(Meetlog!$K$5:$K$205)*(Meetlog!$K$5:$K$205=1))/C10)</f>
        <v/>
      </c>
    </row>
    <row r="12" customFormat="false" ht="15" hidden="false" customHeight="false" outlineLevel="0" collapsed="false">
      <c r="A12" s="13" t="s">
        <v>166</v>
      </c>
    </row>
    <row r="13" customFormat="false" ht="23.85" hidden="false" customHeight="false" outlineLevel="0" collapsed="false">
      <c r="A13" s="3" t="s">
        <v>141</v>
      </c>
      <c r="B13" s="3" t="s">
        <v>160</v>
      </c>
      <c r="C13" s="3" t="s">
        <v>162</v>
      </c>
      <c r="D13" s="3" t="s">
        <v>163</v>
      </c>
    </row>
    <row r="14" customFormat="false" ht="15" hidden="false" customHeight="false" outlineLevel="0" collapsed="false">
      <c r="A14" s="11" t="s">
        <v>153</v>
      </c>
      <c r="B14" s="11" t="n">
        <f aca="false">SUMPRODUCT((Meetlog!$C$5:$C$205=A14)*ISNUMBER(Meetlog!$H$5:$H$205))</f>
        <v>1</v>
      </c>
      <c r="C14" s="12" t="n">
        <f aca="false">IF(B14=0,"",SUMPRODUCT((Meetlog!$C$5:$C$205=A14)*ISNUMBER(Meetlog!$H$5:$H$205)*(Meetlog!$H$5:$H$205=1))/B14)</f>
        <v>0</v>
      </c>
      <c r="D14" s="12" t="n">
        <f aca="false">IF(B14=0,"",SUMPRODUCT((Meetlog!$C$5:$C$205=A14)*ISNUMBER(Meetlog!$K$5:$K$205)*(Meetlog!$K$5:$K$205=1))/B14)</f>
        <v>0</v>
      </c>
    </row>
    <row r="15" customFormat="false" ht="15" hidden="false" customHeight="false" outlineLevel="0" collapsed="false">
      <c r="A15" s="11" t="s">
        <v>167</v>
      </c>
      <c r="B15" s="11" t="n">
        <f aca="false">SUMPRODUCT((Meetlog!$C$5:$C$205=A15)*ISNUMBER(Meetlog!$H$5:$H$205))</f>
        <v>0</v>
      </c>
      <c r="C15" s="12" t="str">
        <f aca="false">IF(B15=0,"",SUMPRODUCT((Meetlog!$C$5:$C$205=A15)*ISNUMBER(Meetlog!$H$5:$H$205)*(Meetlog!$H$5:$H$205=1))/B15)</f>
        <v/>
      </c>
      <c r="D15" s="12" t="str">
        <f aca="false">IF(B15=0,"",SUMPRODUCT((Meetlog!$C$5:$C$205=A15)*ISNUMBER(Meetlog!$K$5:$K$205)*(Meetlog!$K$5:$K$205=1))/B15)</f>
        <v/>
      </c>
    </row>
    <row r="16" customFormat="false" ht="15" hidden="false" customHeight="false" outlineLevel="0" collapsed="false">
      <c r="A16" s="11" t="s">
        <v>168</v>
      </c>
      <c r="B16" s="11" t="n">
        <f aca="false">SUMPRODUCT((Meetlog!$C$5:$C$205=A16)*ISNUMBER(Meetlog!$H$5:$H$205))</f>
        <v>0</v>
      </c>
      <c r="C16" s="12" t="str">
        <f aca="false">IF(B16=0,"",SUMPRODUCT((Meetlog!$C$5:$C$205=A16)*ISNUMBER(Meetlog!$H$5:$H$205)*(Meetlog!$H$5:$H$205=1))/B16)</f>
        <v/>
      </c>
      <c r="D16" s="12" t="str">
        <f aca="false">IF(B16=0,"",SUMPRODUCT((Meetlog!$C$5:$C$205=A16)*ISNUMBER(Meetlog!$K$5:$K$205)*(Meetlog!$K$5:$K$205=1))/B16)</f>
        <v/>
      </c>
    </row>
    <row r="17" customFormat="false" ht="15" hidden="false" customHeight="false" outlineLevel="0" collapsed="false">
      <c r="A17" s="11" t="s">
        <v>30</v>
      </c>
      <c r="B17" s="11" t="n">
        <f aca="false">SUMPRODUCT((Meetlog!$C$5:$C$205=A17)*ISNUMBER(Meetlog!$H$5:$H$205))</f>
        <v>0</v>
      </c>
      <c r="C17" s="12" t="str">
        <f aca="false">IF(B17=0,"",SUMPRODUCT((Meetlog!$C$5:$C$205=A17)*ISNUMBER(Meetlog!$H$5:$H$205)*(Meetlog!$H$5:$H$205=1))/B17)</f>
        <v/>
      </c>
      <c r="D17" s="12" t="str">
        <f aca="false">IF(B17=0,"",SUMPRODUCT((Meetlog!$C$5:$C$205=A17)*ISNUMBER(Meetlog!$K$5:$K$205)*(Meetlog!$K$5:$K$205=1))/B17)</f>
        <v/>
      </c>
    </row>
    <row r="18" customFormat="false" ht="15" hidden="false" customHeight="false" outlineLevel="0" collapsed="false">
      <c r="A18" s="11" t="s">
        <v>169</v>
      </c>
      <c r="B18" s="11" t="n">
        <f aca="false">SUMPRODUCT((Meetlog!$C$5:$C$205=A18)*ISNUMBER(Meetlog!$H$5:$H$205))</f>
        <v>0</v>
      </c>
      <c r="C18" s="12" t="str">
        <f aca="false">IF(B18=0,"",SUMPRODUCT((Meetlog!$C$5:$C$205=A18)*ISNUMBER(Meetlog!$H$5:$H$205)*(Meetlog!$H$5:$H$205=1))/B18)</f>
        <v/>
      </c>
      <c r="D18" s="12" t="str">
        <f aca="false">IF(B18=0,"",SUMPRODUCT((Meetlog!$C$5:$C$205=A18)*ISNUMBER(Meetlog!$K$5:$K$205)*(Meetlog!$K$5:$K$205=1))/B18)</f>
        <v/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170</v>
      </c>
    </row>
    <row r="3" customFormat="false" ht="43.5" hidden="false" customHeight="true" outlineLevel="0" collapsed="false">
      <c r="A3" s="13" t="s">
        <v>171</v>
      </c>
      <c r="B3" s="18" t="s">
        <v>172</v>
      </c>
    </row>
    <row r="4" customFormat="false" ht="43.5" hidden="false" customHeight="true" outlineLevel="0" collapsed="false">
      <c r="A4" s="13" t="s">
        <v>6</v>
      </c>
      <c r="B4" s="18" t="s">
        <v>173</v>
      </c>
    </row>
    <row r="5" customFormat="false" ht="43.5" hidden="false" customHeight="true" outlineLevel="0" collapsed="false">
      <c r="A5" s="13" t="s">
        <v>7</v>
      </c>
      <c r="B5" s="18" t="s">
        <v>174</v>
      </c>
    </row>
    <row r="6" customFormat="false" ht="43.5" hidden="false" customHeight="true" outlineLevel="0" collapsed="false">
      <c r="A6" s="13" t="s">
        <v>175</v>
      </c>
      <c r="B6" s="18" t="s">
        <v>176</v>
      </c>
    </row>
    <row r="7" customFormat="false" ht="43.5" hidden="false" customHeight="true" outlineLevel="0" collapsed="false">
      <c r="A7" s="13" t="s">
        <v>177</v>
      </c>
      <c r="B7" s="18" t="s">
        <v>178</v>
      </c>
    </row>
    <row r="8" customFormat="false" ht="43.5" hidden="false" customHeight="true" outlineLevel="0" collapsed="false">
      <c r="A8" s="13" t="s">
        <v>179</v>
      </c>
      <c r="B8" s="18" t="s">
        <v>180</v>
      </c>
    </row>
    <row r="9" customFormat="false" ht="43.5" hidden="false" customHeight="true" outlineLevel="0" collapsed="false">
      <c r="A9" s="13" t="s">
        <v>181</v>
      </c>
      <c r="B9" s="18" t="s">
        <v>182</v>
      </c>
    </row>
    <row r="10" customFormat="false" ht="43.5" hidden="false" customHeight="true" outlineLevel="0" collapsed="false">
      <c r="A10" s="13" t="s">
        <v>183</v>
      </c>
      <c r="B10" s="18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2026-10-01T05:26:47Z</dcterms:created>
  <dc:creator>openpyxl</dc:creator>
  <dc:description/>
  <dc:language>en-US</dc:language>
  <cp:lastModifiedBy/>
  <dcterms:modified xsi:type="dcterms:W3CDTF">2026-10-01T05:26:47Z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