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ning" sheetId="1" state="visible" r:id="rId3"/>
    <sheet name="Overzicht" sheetId="2" state="visible" r:id="rId4"/>
    <sheet name="Landenranglijst" sheetId="3" state="visible" r:id="rId5"/>
    <sheet name="Weeklog" sheetId="4" state="visible" r:id="rId6"/>
    <sheet name="Go-no-go" sheetId="5" state="visible" r:id="rId7"/>
    <sheet name="Wijzigingen t.o.v. planning" sheetId="6" state="visible" r:id="rId8"/>
    <sheet name="Uitleg" sheetId="7" state="visible" r:id="rId9"/>
  </sheets>
  <definedNames>
    <definedName function="false" hidden="true" localSheetId="0" name="_xlnm._FilterDatabase" vbProcedure="false">Planning!$A$4:$N$40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<sst xmlns="http://schemas.openxmlformats.org/spreadsheetml/2006/main" count="555" uniqueCount="317">
  <si>
    <t xml:space="preserve">Mediterrano Pilates · Europees groeiplan v2 · planning (1 okt 2026 tot Q1 2027)</t>
  </si>
  <si>
    <t xml:space="preserve">Gele cellen vul jij in (Status, Afgerond op, Notities). Het nummer in kolom A is het taaknummer in ClickUp (lijst '4. Website, SEO &amp; AIO'); taak 16 komt meerdere keren terug omdat hij maandelijks herhaalt. Uren zijn jouw uren; Claude-werk telt niet mee. Impact en uren zijn inschattingen.</t>
  </si>
  <si>
    <t xml:space="preserve">ClickUp #</t>
  </si>
  <si>
    <t xml:space="preserve">Fase</t>
  </si>
  <si>
    <t xml:space="preserve">Actie</t>
  </si>
  <si>
    <t xml:space="preserve">Markt</t>
  </si>
  <si>
    <t xml:space="preserve">Kanaal</t>
  </si>
  <si>
    <t xml:space="preserve">Wie</t>
  </si>
  <si>
    <t xml:space="preserve">Uren (jij)</t>
  </si>
  <si>
    <t xml:space="preserve">Impact</t>
  </si>
  <si>
    <t xml:space="preserve">Start</t>
  </si>
  <si>
    <t xml:space="preserve">Deadline</t>
  </si>
  <si>
    <t xml:space="preserve">Status</t>
  </si>
  <si>
    <t xml:space="preserve">Afgerond op</t>
  </si>
  <si>
    <t xml:space="preserve">Notities</t>
  </si>
  <si>
    <t xml:space="preserve">Herkomst</t>
  </si>
  <si>
    <t xml:space="preserve">Wk 1 (1-7 okt)</t>
  </si>
  <si>
    <t xml:space="preserve">Kerstcampagne live: landingsblok 'Navidad: pide tu mockup antes del 15 de octubre' op homepage en kerstartikel, Instagram-reeks, WhatsApp aan aanvragers van vorige week. Goedkeuring uiterlijk rond 24 okt (productie + verzending 4-7 weken).</t>
  </si>
  <si>
    <t xml:space="preserve">ES (+PT in EN)</t>
  </si>
  <si>
    <t xml:space="preserve">Site, Instagram, WhatsApp</t>
  </si>
  <si>
    <t xml:space="preserve">samen</t>
  </si>
  <si>
    <t xml:space="preserve">H</t>
  </si>
  <si>
    <t xml:space="preserve">Open</t>
  </si>
  <si>
    <t xml:space="preserve">nieuw</t>
  </si>
  <si>
    <t xml:space="preserve">Formulierveld '¿Cómo nos has conocido?' in 3 talen; GA4-formulierconversie als belangrijke gebeurtenis; eigen IP uitsluiten in GA4.</t>
  </si>
  <si>
    <t xml:space="preserve">alle</t>
  </si>
  <si>
    <t xml:space="preserve">Meting</t>
  </si>
  <si>
    <t xml:space="preserve">M</t>
  </si>
  <si>
    <t xml:space="preserve">Opvolgroutine: mockup binnen 24 u, WhatsApp-templates dag 1/3/7, bronvraag bij elk contact.</t>
  </si>
  <si>
    <t xml:space="preserve">WhatsApp</t>
  </si>
  <si>
    <t xml:space="preserve">Ontbrekende productfeiten aanleveren: MOQ tumbler/tote/aro en prijzen tobillero/crew.</t>
  </si>
  <si>
    <t xml:space="preserve">Site</t>
  </si>
  <si>
    <t xml:space="preserve">jij</t>
  </si>
  <si>
    <t xml:space="preserve">bestaand</t>
  </si>
  <si>
    <t xml:space="preserve">Spaanse nichepagina fysiotherapiepraktijken ('pilates terapéutico') bouwen en publiceren.</t>
  </si>
  <si>
    <t xml:space="preserve">ES</t>
  </si>
  <si>
    <t xml:space="preserve">Claude</t>
  </si>
  <si>
    <t xml:space="preserve">Bing URL-inspectie /en/ en /de/; IndexNow in de Netlify-deploy; hreflang x-default naar /en/.</t>
  </si>
  <si>
    <t xml:space="preserve">EN/DE</t>
  </si>
  <si>
    <t xml:space="preserve">Techniek</t>
  </si>
  <si>
    <t xml:space="preserve">L</t>
  </si>
  <si>
    <t xml:space="preserve">Wk 2 (8-14 okt)</t>
  </si>
  <si>
    <t xml:space="preserve">Spaanse bedrijvengidsen: alleen gratis en branchegericht, max. 5, identieke bedrijfsgegevens.</t>
  </si>
  <si>
    <t xml:space="preserve">Gidsen</t>
  </si>
  <si>
    <t xml:space="preserve">L-M</t>
  </si>
  <si>
    <t xml:space="preserve">bestaand, verzet van 6 naar 13 okt</t>
  </si>
  <si>
    <t xml:space="preserve">Partneraanvraag bsport (Merch &amp; Apparel). Tegenaanbod zonder korting (merkregel): bv. voorrang in de mockup-wachtrij en ES/PT-service. Claude schrijft, jij verstuurt.</t>
  </si>
  <si>
    <t xml:space="preserve">ES/PT/FR</t>
  </si>
  <si>
    <t xml:space="preserve">Platform</t>
  </si>
  <si>
    <t xml:space="preserve">Outreach Spaanse vakmedia: GYM FACTORY, GestiónFit, lifestyle.fit; persbericht 'merch als inkomstenbron' zonder klantclaims.</t>
  </si>
  <si>
    <t xml:space="preserve">Media</t>
  </si>
  <si>
    <t xml:space="preserve">Zoekvolumes verifiëren (Ubersuggest), scope versmald tot ES en PT.</t>
  </si>
  <si>
    <t xml:space="preserve">ES/PT</t>
  </si>
  <si>
    <t xml:space="preserve">Onderzoek</t>
  </si>
  <si>
    <t xml:space="preserve">bestaand, scope versmald</t>
  </si>
  <si>
    <t xml:space="preserve">Maandelijkse SEO/AEO-check, ronde 0: alleen indexatie per map controleren in Search Console.</t>
  </si>
  <si>
    <t xml:space="preserve">bestaand (herhalend)</t>
  </si>
  <si>
    <t xml:space="preserve">Wk 3 (15-21 okt)</t>
  </si>
  <si>
    <t xml:space="preserve">/pt/ live: 8 pagina's in Europees Portugees (home, meias antiderrapantes, tumbler, como funciona, preços e margens, FAQ met NIF/VIES, mockup, sobre nós) + hreflang, sitemap, llms.txt, IndexNow, GSC-inspectie. Native check aanbevolen.</t>
  </si>
  <si>
    <t xml:space="preserve">PT</t>
  </si>
  <si>
    <t xml:space="preserve">nieuw (was P3 nov-dec)</t>
  </si>
  <si>
    <t xml:space="preserve">Rekenpagina ES: '¿Cuánto gana tu estudio con 50 pares?' (alleen eigen adviesprijzen).</t>
  </si>
  <si>
    <t xml:space="preserve">Wk 4 (22-28 okt)</t>
  </si>
  <si>
    <t xml:space="preserve">Fiscaal adres doorgeven voor legal.html, GBP, gidsen, VIES/ROI.</t>
  </si>
  <si>
    <t xml:space="preserve">Admin</t>
  </si>
  <si>
    <t xml:space="preserve">Over-ons met entiteitsgegevens (Ecomtierra Group SL, adres, btw-nr) in alle talen; verzendlanden, levertijd en douanetekst VK/CH op EN/DE-pagina's.</t>
  </si>
  <si>
    <t xml:space="preserve">Eversports-partnerschap navragen (Wenen; 5.500+ studio's in AT/DE/CH/NL/BE/FR/IT/ES).</t>
  </si>
  <si>
    <t xml:space="preserve">DACH/ES</t>
  </si>
  <si>
    <t xml:space="preserve">AEO-meting: 6 bestaande testvragen + 4 Portugese; loggen in aeo-signalen-log.</t>
  </si>
  <si>
    <t xml:space="preserve">meting</t>
  </si>
  <si>
    <t xml:space="preserve">Maandelijkse SEO/AEO-check, ronde 1 (volledig: GSC, GA4, AI-meting, log).</t>
  </si>
  <si>
    <t xml:space="preserve">Uitgesteld</t>
  </si>
  <si>
    <t xml:space="preserve">Google Consent Mode v2: pas vóór er advertentiebudget wordt ingezet.</t>
  </si>
  <si>
    <t xml:space="preserve">bestaand, uitgesteld</t>
  </si>
  <si>
    <t xml:space="preserve">Wk 5-6 (29 okt-11 nov)</t>
  </si>
  <si>
    <t xml:space="preserve">Artikel 'Merch para enero: cómo aprovechar las nuevas altas del año' + Portugese tegenhanger. Goedkeuring voor januari uiterlijk half november.</t>
  </si>
  <si>
    <t xml:space="preserve">Portugal: 10-15 persoonlijke e-mails/Instagram-DM's aan reformerstudio's met uitnodiging voor gratis mockup. Geen gekochte lijsten.</t>
  </si>
  <si>
    <t xml:space="preserve">Outreach</t>
  </si>
  <si>
    <t xml:space="preserve">Spaanse koopgids 'Cómo elegir proveedor de calcetines antideslizantes con logo' (minimum, levertijd, mockup, verzending, btw).</t>
  </si>
  <si>
    <t xml:space="preserve">LinkedIn-bedrijfspagina: Engelse beschrijving als primaire taal toevoegen.</t>
  </si>
  <si>
    <t xml:space="preserve">EN</t>
  </si>
  <si>
    <t xml:space="preserve">Off-site</t>
  </si>
  <si>
    <t xml:space="preserve">Wk 7-8 (12-25 nov)</t>
  </si>
  <si>
    <t xml:space="preserve">Opleiders Spanje benaderen: Club Pilates Educación (BCN/MAD/BIO) en TecnoSport (Balanced Body). Propositie: gratis uitleg merch-inkomsten voor afstuderende instructeurs.</t>
  </si>
  <si>
    <t xml:space="preserve">Partners</t>
  </si>
  <si>
    <t xml:space="preserve">Spaanse nichepagina dansscholen.</t>
  </si>
  <si>
    <t xml:space="preserve">Maandelijkse SEO/AEO-check, ronde 2: Search Console per map (/, /pt/, /en/, /de/).</t>
  </si>
  <si>
    <t xml:space="preserve">Wk 9-10 (26 nov-9 dec)</t>
  </si>
  <si>
    <t xml:space="preserve">Pagina's 'Día de la Madre' (ES) en 'Dia da Mãe' (PT) live; goedkeuring uiterlijk half maart.</t>
  </si>
  <si>
    <t xml:space="preserve">Go/no-go Portugal na 6-7 weken live (criteria tabblad Go-no-go).</t>
  </si>
  <si>
    <t xml:space="preserve">Besluit</t>
  </si>
  <si>
    <t xml:space="preserve">besluit</t>
  </si>
  <si>
    <t xml:space="preserve">Europages-profiel (alleen als consistent bedrijfsgegevenssignaal). Crunchbase, Wikidata en wlw naar Q1.</t>
  </si>
  <si>
    <t xml:space="preserve">EU</t>
  </si>
  <si>
    <t xml:space="preserve">Wk 11-13 (10-31 dec)</t>
  </si>
  <si>
    <t xml:space="preserve">/fr/-concept bouwen (niet live), met de lessen uit /pt/.</t>
  </si>
  <si>
    <t xml:space="preserve">FR</t>
  </si>
  <si>
    <t xml:space="preserve">voorbereiding</t>
  </si>
  <si>
    <t xml:space="preserve">Twee Spaanse artikelen voor januari (o.a. 'Cuánto puede ganar un estudio con merchandising'), publicatie begin januari.</t>
  </si>
  <si>
    <t xml:space="preserve">Dag-90-meting: AEO-prompts 10 ES, 6 PT, 10 EN, 10 DE vs nulmeting; GA4 en GSC per map.</t>
  </si>
  <si>
    <t xml:space="preserve">Q1 2027 januari</t>
  </si>
  <si>
    <t xml:space="preserve">/fr/ live (10-15 pagina's) als Portugal een go kreeg; Faire Europe-aanvraag na eerste geleverde orders; Franse vakmedia via bsport-contacten Parijs.</t>
  </si>
  <si>
    <t xml:space="preserve">FR/EU</t>
  </si>
  <si>
    <t xml:space="preserve">Site, Platform</t>
  </si>
  <si>
    <t xml:space="preserve">Q1 2027 februari</t>
  </si>
  <si>
    <t xml:space="preserve">Landpagina's Ierland en Oostenrijk met unieke FAQ, alleen bij stijgende GSC-vertoningen op /en/ en /de/; één Engelse testpagina Scandinavië.</t>
  </si>
  <si>
    <t xml:space="preserve">IE/AT/Noorden</t>
  </si>
  <si>
    <t xml:space="preserve">Q1 2027 maart</t>
  </si>
  <si>
    <t xml:space="preserve">DDP voor VK en CH uitzoeken met gestor en vervoerder (oorsprong sokken, CH btw-drempel); pas daarna VK-pagina.</t>
  </si>
  <si>
    <t xml:space="preserve">VK/CH</t>
  </si>
  <si>
    <t xml:space="preserve">Na eerste orders</t>
  </si>
  <si>
    <t xml:space="preserve">Reviews vragen aan echte klanten (Google, Trustpilot). YouTube, Reddit, gastartikelen EN/DE pas bij tractie op /en/ en /de/.</t>
  </si>
  <si>
    <t xml:space="preserve">Voorbeeld van een ingevulde regel:</t>
  </si>
  <si>
    <t xml:space="preserve">Afgerond</t>
  </si>
  <si>
    <t xml:space="preserve">(voorbeeld) Google Search Console geverifieerd, sitemap ingediend</t>
  </si>
  <si>
    <t xml:space="preserve">Klaar</t>
  </si>
  <si>
    <t xml:space="preserve">Alle URL's geïndexeerd op 30-09.</t>
  </si>
  <si>
    <t xml:space="preserve">Voortgang en urenlast</t>
  </si>
  <si>
    <t xml:space="preserve">Formules op het tabblad Planning; niets invullen.</t>
  </si>
  <si>
    <t xml:space="preserve">Aantal</t>
  </si>
  <si>
    <t xml:space="preserve">Bezig</t>
  </si>
  <si>
    <t xml:space="preserve">Vervalt</t>
  </si>
  <si>
    <t xml:space="preserve">Totaal</t>
  </si>
  <si>
    <t xml:space="preserve">Te laat (deadline verstreken, niet klaar)</t>
  </si>
  <si>
    <t xml:space="preserve">Acties</t>
  </si>
  <si>
    <t xml:space="preserve">Uren jij (gepland)</t>
  </si>
  <si>
    <t xml:space="preserve">Uren jij (klaar)</t>
  </si>
  <si>
    <t xml:space="preserve">Markt bevat</t>
  </si>
  <si>
    <t xml:space="preserve">DE</t>
  </si>
  <si>
    <t xml:space="preserve">Landenranglijst Europa (scores 1-5, eigen inschatting; totaal is een formule)</t>
  </si>
  <si>
    <t xml:space="preserve">Pas een score aan en het totaal en de rangorde rekenen mee. 'Veld leeg' = 5 betekent geen lokale concurrent gevonden. 'Frictie laag' = 5 betekent EU, geen douane.</t>
  </si>
  <si>
    <t xml:space="preserve">Land</t>
  </si>
  <si>
    <t xml:space="preserve">Groei</t>
  </si>
  <si>
    <t xml:space="preserve">Taal nodig</t>
  </si>
  <si>
    <t xml:space="preserve">AI-gebruik</t>
  </si>
  <si>
    <t xml:space="preserve">Veld leeg</t>
  </si>
  <si>
    <t xml:space="preserve">Frictie laag</t>
  </si>
  <si>
    <t xml:space="preserve">Totaal /25</t>
  </si>
  <si>
    <t xml:space="preserve">Rang</t>
  </si>
  <si>
    <t xml:space="preserve">Benodigde sectie</t>
  </si>
  <si>
    <t xml:space="preserve">Tijd tot 1e lead (schatting)</t>
  </si>
  <si>
    <t xml:space="preserve">Belangrijkste concurrenten / notitie</t>
  </si>
  <si>
    <t xml:space="preserve">Spanje</t>
  </si>
  <si>
    <t xml:space="preserve">bestaand + niches</t>
  </si>
  <si>
    <t xml:space="preserve">1-4 wk per nichepagina</t>
  </si>
  <si>
    <t xml:space="preserve">verdiepen, 50% van de uren</t>
  </si>
  <si>
    <t xml:space="preserve">Studio Grip Socks (ES-pagina), Lifestylesport (vanaf 100), Regalopublicidad, Coarte, Alibaba; niemand op 'merch als inkomsten'</t>
  </si>
  <si>
    <t xml:space="preserve">Portugal</t>
  </si>
  <si>
    <t xml:space="preserve">/pt/, 8 pagina's</t>
  </si>
  <si>
    <t xml:space="preserve">3-8 wk</t>
  </si>
  <si>
    <t xml:space="preserve">live in week 3</t>
  </si>
  <si>
    <t xml:space="preserve">Alleen Braziliaanse aanbieders gevonden (Brindice, Destak, Cotton Sock, Mercado Livre)</t>
  </si>
  <si>
    <t xml:space="preserve">Frankrijk</t>
  </si>
  <si>
    <t xml:space="preserve">/fr/, 10-15 pagina's</t>
  </si>
  <si>
    <t xml:space="preserve">6-12 wk</t>
  </si>
  <si>
    <t xml:space="preserve">januari, als PT een go krijgt</t>
  </si>
  <si>
    <t xml:space="preserve">chaussettes-pilates.fr, Pylates.studio, Etsy FR</t>
  </si>
  <si>
    <t xml:space="preserve">Italië</t>
  </si>
  <si>
    <t xml:space="preserve">/it/</t>
  </si>
  <si>
    <t xml:space="preserve">8-14 wk</t>
  </si>
  <si>
    <t xml:space="preserve">niet: laagste AI-gebruik EU (19,9%), geen taal in huis</t>
  </si>
  <si>
    <t xml:space="preserve">Pgoplay</t>
  </si>
  <si>
    <t xml:space="preserve">Duitsland</t>
  </si>
  <si>
    <t xml:space="preserve">bestaand /de/</t>
  </si>
  <si>
    <t xml:space="preserve">8-16+ wk</t>
  </si>
  <si>
    <t xml:space="preserve">onderhoud; landpagina's pas op GSC-signaal</t>
  </si>
  <si>
    <t xml:space="preserve">Refinesocks (24 u, vanaf 50), Sokkies (24 u, vanaf 30), Occulto, Spreeprint, Socken-Haus; ≈1.300 studio's (schatting BODYMEDIA)</t>
  </si>
  <si>
    <t xml:space="preserve">Oostenrijk</t>
  </si>
  <si>
    <t xml:space="preserve">landpagina in /de/</t>
  </si>
  <si>
    <t xml:space="preserve">8-16 wk</t>
  </si>
  <si>
    <t xml:space="preserve">februari, voorwaardelijk</t>
  </si>
  <si>
    <t xml:space="preserve">Hollyshirt + DE-spelers; Eversports zit in Wenen</t>
  </si>
  <si>
    <t xml:space="preserve">België</t>
  </si>
  <si>
    <t xml:space="preserve">via /fr/ of /en/</t>
  </si>
  <si>
    <t xml:space="preserve">10-16 wk</t>
  </si>
  <si>
    <t xml:space="preserve">meeliften op FR</t>
  </si>
  <si>
    <t xml:space="preserve">NL- en FR-spelers</t>
  </si>
  <si>
    <t xml:space="preserve">Ierland</t>
  </si>
  <si>
    <t xml:space="preserve">landpagina in /en/</t>
  </si>
  <si>
    <t xml:space="preserve">Engels veld (PilatesGoods e.a.); EU-voordeel t.o.v. Britse leveranciers</t>
  </si>
  <si>
    <t xml:space="preserve">Noorden (SE/DK/NO/FI)</t>
  </si>
  <si>
    <t xml:space="preserve">één Engelse testpagina</t>
  </si>
  <si>
    <t xml:space="preserve">12+ wk</t>
  </si>
  <si>
    <t xml:space="preserve">februari: één testpagina</t>
  </si>
  <si>
    <t xml:space="preserve">Hoogste AI-gebruik (NO 56%, DK 48%, FI 46%); Noorwegen niet-EU</t>
  </si>
  <si>
    <t xml:space="preserve">Nederland</t>
  </si>
  <si>
    <t xml:space="preserve">/nl/</t>
  </si>
  <si>
    <t xml:space="preserve">12+ wk, onzeker</t>
  </si>
  <si>
    <t xml:space="preserve">geschrapt voor 90 dagen</t>
  </si>
  <si>
    <t xml:space="preserve">KORRHAUS, PLTÉ, RoHil, MijnEigenSokken, Sokkies, Promobee, Tiger Concept; NL #1 EF-index</t>
  </si>
  <si>
    <t xml:space="preserve">Zwitserland</t>
  </si>
  <si>
    <t xml:space="preserve">landpagina /de/ + DDP</t>
  </si>
  <si>
    <t xml:space="preserve">pas na DDP</t>
  </si>
  <si>
    <t xml:space="preserve">na DDP</t>
  </si>
  <si>
    <t xml:space="preserve">8,1% invoer-btw; geen douanerecht op industriële goederen sinds 2024</t>
  </si>
  <si>
    <t xml:space="preserve">Polen</t>
  </si>
  <si>
    <t xml:space="preserve">/pl/</t>
  </si>
  <si>
    <t xml:space="preserve">niet geschat</t>
  </si>
  <si>
    <t xml:space="preserve">niet</t>
  </si>
  <si>
    <t xml:space="preserve">Niet onderzocht</t>
  </si>
  <si>
    <t xml:space="preserve">Verenigd Koninkrijk</t>
  </si>
  <si>
    <t xml:space="preserve">/en/ + DDP</t>
  </si>
  <si>
    <t xml:space="preserve">pas na DDP, 12+ wk</t>
  </si>
  <si>
    <t xml:space="preserve">na DDP (maart uitzoeken)</t>
  </si>
  <si>
    <t xml:space="preserve">PilatesGoods, Sockrates, My Movement, hipSwan, Made by Cooper; elke order &gt; £135</t>
  </si>
  <si>
    <t xml:space="preserve">Weeklog (maandag, 20 minuten)</t>
  </si>
  <si>
    <t xml:space="preserve">Eén regel per week. Gele cellen invullen. Kolom 'Totaal aanvragen' en 'Mockup→order %' zijn formules. Bron per aanvraag komt uit het formulierveld '¿Cómo nos has conocido?'.</t>
  </si>
  <si>
    <t xml:space="preserve">Week (maandag)</t>
  </si>
  <si>
    <t xml:space="preserve">Aanvragen ES</t>
  </si>
  <si>
    <t xml:space="preserve">Aanvragen PT</t>
  </si>
  <si>
    <t xml:space="preserve">Aanvragen EN/DE-landen</t>
  </si>
  <si>
    <t xml:space="preserve">Aanvragen overig</t>
  </si>
  <si>
    <t xml:space="preserve">Totaal aanvragen</t>
  </si>
  <si>
    <t xml:space="preserve">waarvan bron: ChatGPT/AI</t>
  </si>
  <si>
    <t xml:space="preserve">waarvan bron: Google</t>
  </si>
  <si>
    <t xml:space="preserve">waarvan bron: Instagram</t>
  </si>
  <si>
    <t xml:space="preserve">Mockups verstuurd</t>
  </si>
  <si>
    <t xml:space="preserve">Offertes</t>
  </si>
  <si>
    <t xml:space="preserve">Orders</t>
  </si>
  <si>
    <t xml:space="preserve">Mockup→order %</t>
  </si>
  <si>
    <t xml:space="preserve">GA4 sessies chatgpt.com</t>
  </si>
  <si>
    <t xml:space="preserve">GA4 sessies Google organisch</t>
  </si>
  <si>
    <t xml:space="preserve">GA4 sessies Instagram</t>
  </si>
  <si>
    <t xml:space="preserve">GSC vertoningen /pt/</t>
  </si>
  <si>
    <t xml:space="preserve">Startmeting 23-30 sep (GA4 ongefilterd, 'direct' 37 deels eigen bezoek)</t>
  </si>
  <si>
    <t xml:space="preserve">Go/no-go-criteria per sectie (eigen vuistregels, geen branchestandaard)</t>
  </si>
  <si>
    <t xml:space="preserve">Stopregel: een sectie die 8 weken na volledige indexatie nul vertoningen heeft in Search Console heeft een technisch probleem (canonical, hreflang, robots), geen marktprobleem. Eerst repareren, dan beoordelen.</t>
  </si>
  <si>
    <t xml:space="preserve">Sectie</t>
  </si>
  <si>
    <t xml:space="preserve">Livegang (datum)</t>
  </si>
  <si>
    <t xml:space="preserve">Week 2 na livegang</t>
  </si>
  <si>
    <t xml:space="preserve">Week 6</t>
  </si>
  <si>
    <t xml:space="preserve">Week 10-12</t>
  </si>
  <si>
    <t xml:space="preserve">Bij no-go</t>
  </si>
  <si>
    <t xml:space="preserve">Uitkomst (go/no-go)</t>
  </si>
  <si>
    <t xml:space="preserve">Datum besluit</t>
  </si>
  <si>
    <t xml:space="preserve">Portugal /pt/</t>
  </si>
  <si>
    <t xml:space="preserve">Alle pagina's geïndexeerd in GSC en Bing</t>
  </si>
  <si>
    <t xml:space="preserve">≥ 50 vertoningen/week of ≥ 1 PT-aanvraag</t>
  </si>
  <si>
    <t xml:space="preserve">≥ 2 PT-aanvragen totaal</t>
  </si>
  <si>
    <t xml:space="preserve">Niet verder bouwen, alleen onderhoud; /fr/ toch starten op eigen merites</t>
  </si>
  <si>
    <t xml:space="preserve">Spaanse niches (fysio, danza, barre)</t>
  </si>
  <si>
    <t xml:space="preserve">Geïndexeerd</t>
  </si>
  <si>
    <t xml:space="preserve">Vertoningen op niche-zoektermen</t>
  </si>
  <si>
    <t xml:space="preserve">≥ 1 aanvraag die de niche noemt</t>
  </si>
  <si>
    <t xml:space="preserve">Niche niet uitbouwen, pagina laten staan</t>
  </si>
  <si>
    <t xml:space="preserve">/de/</t>
  </si>
  <si>
    <t xml:space="preserve">Stijgende vertoningen 3 weken op rij</t>
  </si>
  <si>
    <t xml:space="preserve">≥ 1 aanvraag DACH</t>
  </si>
  <si>
    <t xml:space="preserve">Geen landpagina's in februari</t>
  </si>
  <si>
    <t xml:space="preserve">/en/</t>
  </si>
  <si>
    <t xml:space="preserve">Vertoningen buiten de VS (IE, VK, Noorden)</t>
  </si>
  <si>
    <t xml:space="preserve">≥ 1 aanvraag uit Engelstalig of Noords land</t>
  </si>
  <si>
    <t xml:space="preserve">Alleen onderhoud</t>
  </si>
  <si>
    <t xml:space="preserve">bsport-partnerschap</t>
  </si>
  <si>
    <t xml:space="preserve">Antwoord ontvangen</t>
  </si>
  <si>
    <t xml:space="preserve">Vermelding live</t>
  </si>
  <si>
    <t xml:space="preserve">≥ 1 aanvraag via bsport</t>
  </si>
  <si>
    <t xml:space="preserve">Eversports als alternatief prioriteren</t>
  </si>
  <si>
    <t xml:space="preserve">/fr/ (Q1)</t>
  </si>
  <si>
    <t xml:space="preserve">≥ 50 vertoningen/week</t>
  </si>
  <si>
    <t xml:space="preserve">≥ 1 FR-aanvraag</t>
  </si>
  <si>
    <t xml:space="preserve">Pauzeren tot Q2</t>
  </si>
  <si>
    <t xml:space="preserve">Wat verandert ten opzichte van het groeiplan van 30 sep, het EN/DE-plan van 1 okt en ClickUp</t>
  </si>
  <si>
    <t xml:space="preserve">Bestaande actie</t>
  </si>
  <si>
    <t xml:space="preserve">Reden</t>
  </si>
  <si>
    <t xml:space="preserve">Portugal mini-lancering (groeiplan P3, nov-dec)</t>
  </si>
  <si>
    <t xml:space="preserve">Vervroegd naar week 3 (ClickUp 23)</t>
  </si>
  <si>
    <t xml:space="preserve">Leeg veld, al een aanvraag, laagste frictie</t>
  </si>
  <si>
    <t xml:space="preserve">/nl/ met vergelijkingspagina (P3)</t>
  </si>
  <si>
    <t xml:space="preserve">Geschrapt voor 90 dagen; heroverwegen eind Q1</t>
  </si>
  <si>
    <t xml:space="preserve">Zeven zichtbare NL-aanbieders; NL #1 in EF-index, Engels bereikt ze al</t>
  </si>
  <si>
    <t xml:space="preserve">Duitse pijlerpagina (P2, oktober)</t>
  </si>
  <si>
    <t xml:space="preserve">Uitgesteld naar februari, voorwaardelijk (ClickUp 41)</t>
  </si>
  <si>
    <t xml:space="preserve">Refinesocks en Sokkies met identieke 24-uursbelofte en lagere minima; eerst GSC-signaal</t>
  </si>
  <si>
    <t xml:space="preserve">Ierland-FAQ op /en/ (P2)</t>
  </si>
  <si>
    <t xml:space="preserve">Uitgesteld naar februari (ClickUp 41)</t>
  </si>
  <si>
    <t xml:space="preserve">Engels veld dicht; lage opbrengst per uur</t>
  </si>
  <si>
    <t xml:space="preserve">EN/DE-plan: Crunchbase, Wikidata, YouTube, Reddit/Quora, gastartikelen, podcasts, sample-reviewers</t>
  </si>
  <si>
    <t xml:space="preserve">Naar Q1 of later (ClickUp 43)</t>
  </si>
  <si>
    <t xml:space="preserve">Veel eigenaarsuren; effect binnen 90 dagen onzeker</t>
  </si>
  <si>
    <t xml:space="preserve">EN/DE-plan: Bing-inspectie, IndexNow, x-default, entiteit, verzendinfo</t>
  </si>
  <si>
    <t xml:space="preserve">Vervroegd naar week 1 en 4 (ClickUp 21, 25)</t>
  </si>
  <si>
    <t xml:space="preserve">Bijna nul eigenaarsuren</t>
  </si>
  <si>
    <t xml:space="preserve">Uitgangsmeting 10 EN + 10 DE prompts via VPN</t>
  </si>
  <si>
    <t xml:space="preserve">Teruggebracht tot dag 90 (ClickUp 39)</t>
  </si>
  <si>
    <t xml:space="preserve">Nulmeting bestaat al; maandfocus op ES en PT</t>
  </si>
  <si>
    <t xml:space="preserve">Taak 11 Ubersuggest ES/EN/DE</t>
  </si>
  <si>
    <t xml:space="preserve">Scope naar ES en PT</t>
  </si>
  <si>
    <t xml:space="preserve">Past bij de focus</t>
  </si>
  <si>
    <t xml:space="preserve">Taak 09 Spaanse gidsen (6 okt)</t>
  </si>
  <si>
    <t xml:space="preserve">Verzet naar 13 okt, max. 5 gidsen</t>
  </si>
  <si>
    <t xml:space="preserve">Week 1 gaat naar kerst en meten</t>
  </si>
  <si>
    <t xml:space="preserve">Taak 14 Consent Mode v2</t>
  </si>
  <si>
    <t xml:space="preserve">Uitgesteld tot er een besluit over ads is</t>
  </si>
  <si>
    <t xml:space="preserve">Geen ads actief</t>
  </si>
  <si>
    <t xml:space="preserve">Frankrijk /fr/ (P4, Q1)</t>
  </si>
  <si>
    <t xml:space="preserve">Gehandhaafd; concept al in december (ClickUp 37, 40)</t>
  </si>
  <si>
    <t xml:space="preserve">Taal nodig, markt groeit, veld deels bezet</t>
  </si>
  <si>
    <t xml:space="preserve">VK na DDP (P4)</t>
  </si>
  <si>
    <t xml:space="preserve">Gehandhaafd (ClickUp 42)</t>
  </si>
  <si>
    <t xml:space="preserve">Elke sokkenorder &gt; £135</t>
  </si>
  <si>
    <t xml:space="preserve">Italië, Polen, stadspagina's, prijsconcurrentie NL</t>
  </si>
  <si>
    <t xml:space="preserve">Bevestigd: niet</t>
  </si>
  <si>
    <t xml:space="preserve">Laag AI-gebruik (IT 19,9%), bezette velden, geen taal in huis</t>
  </si>
  <si>
    <t xml:space="preserve">Legenda en aannames</t>
  </si>
  <si>
    <t xml:space="preserve">Kleuren</t>
  </si>
  <si>
    <t xml:space="preserve">Geel = invullen door jou. Groen (Status) = Klaar. Zalm = Bezig. Rode deadline = verstreken en niet klaar.</t>
  </si>
  <si>
    <t xml:space="preserve">jij = alleen jij kunt dit (accounts, platforms, contacten, geld). Claude = ik bouw of schrijf het zonder verdere input. samen = jij levert input of een korte review, ik werk het uit.</t>
  </si>
  <si>
    <t xml:space="preserve">Uren</t>
  </si>
  <si>
    <t xml:space="preserve">Jouw uren per actie, inschatting. Claude-werk telt niet mee. Verwacht 6-10 u/week in week 1-4, daarna 5-7 u/week.</t>
  </si>
  <si>
    <t xml:space="preserve">Verwachte invloed op organische aanvragen: H/M/L. Eigen inschatting; 'meting' en 'besluit' zijn geen leadacties.</t>
  </si>
  <si>
    <t xml:space="preserve">ClickUp-nummers</t>
  </si>
  <si>
    <t xml:space="preserve">1-17 bestonden al; 18-43 zijn nieuw toegevoegd op 1 oktober 2026 in de lijst '4. Website, SEO &amp; AIO'. Taak 16 (maandcheck) herhaalt.</t>
  </si>
  <si>
    <t xml:space="preserve">Merkregels</t>
  </si>
  <si>
    <t xml:space="preserve">Geen testimonials, casestudy's, klantlogo's of klantaantallen zolang er geen echte klanten zijn. Geen gekochte reviews. Geen prijsconcurrentie (ook niet als bsport-aanbod).</t>
  </si>
  <si>
    <t xml:space="preserve">Bron</t>
  </si>
  <si>
    <t xml:space="preserve">Mediterrano_Europees_groeiplan_v2_2026-10-01.pdf (9 p., met bronnenlijst) en het onderliggende onderzoek van 1 oktober 2026.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</si>
</sst>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\-yyyy"/>
    <numFmt numFmtId="166" formatCode="General"/>
    <numFmt numFmtId="167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E4034"/>
      <name val="Arial"/>
      <family val="0"/>
      <charset val="1"/>
    </font>
    <font>
      <i val="true"/>
      <sz val="9"/>
      <color rgb="FF6B736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6B736C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4034"/>
        <bgColor rgb="FF333300"/>
      </patternFill>
    </fill>
    <fill>
      <patternFill patternType="solid">
        <fgColor rgb="FFFFF2CC"/>
        <bgColor rgb="FFFBE7D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4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2E403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D8E6D9"/>
        </patternFill>
      </fill>
    </dxf>
    <dxf>
      <fill>
        <patternFill>
          <bgColor rgb="FFFBE7DC"/>
        </patternFill>
      </fill>
    </dxf>
    <dxf>
      <font>
        <name val="Arial"/>
        <charset val="1"/>
        <family val="0"/>
        <b val="1"/>
        <color rgb="FFB4552E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4C7"/>
      <rgbColor rgb="FF6B736C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E6D9"/>
      <rgbColor rgb="FFFBE7D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B4552E"/>
      <rgbColor rgb="FF993366"/>
      <rgbColor rgb="FF333399"/>
      <rgbColor rgb="FF2E403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64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8" min="6" style="0" width="8"/>
    <col collapsed="false" customWidth="true" hidden="false" outlineLevel="0" max="11" min="9" style="0" width="11"/>
    <col collapsed="false" customWidth="true" hidden="false" outlineLevel="0" max="12" min="12" style="0" width="12"/>
    <col collapsed="false" customWidth="true" hidden="false" outlineLevel="0" max="13" min="13" style="0" width="34"/>
    <col collapsed="false" customWidth="true" hidden="false" outlineLevel="0" max="14" min="14" style="0" width="22"/>
  </cols>
  <sheetData>
    <row r="1" customFormat="false" ht="17.35" hidden="false" customHeight="false" outlineLevel="0" collapsed="false">
      <c r="A1" s="1" t="s">
        <v>0</v>
      </c>
    </row>
    <row r="2" customFormat="false" ht="31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46.25" hidden="false" customHeight="false" outlineLevel="0" collapsed="false">
      <c r="A5" s="4" t="n">
        <v>18</v>
      </c>
      <c r="B5" s="4" t="s">
        <v>16</v>
      </c>
      <c r="C5" s="4" t="s">
        <v>17</v>
      </c>
      <c r="D5" s="4" t="s">
        <v>18</v>
      </c>
      <c r="E5" s="4" t="s">
        <v>19</v>
      </c>
      <c r="F5" s="4" t="s">
        <v>20</v>
      </c>
      <c r="G5" s="4" t="n">
        <v>3</v>
      </c>
      <c r="H5" s="4" t="s">
        <v>21</v>
      </c>
      <c r="I5" s="5" t="n">
        <v>46296</v>
      </c>
      <c r="J5" s="5" t="n">
        <v>46302</v>
      </c>
      <c r="K5" s="6" t="s">
        <v>22</v>
      </c>
      <c r="L5" s="7"/>
      <c r="M5" s="6"/>
      <c r="N5" s="4" t="s">
        <v>23</v>
      </c>
    </row>
    <row r="6" customFormat="false" ht="23.85" hidden="false" customHeight="false" outlineLevel="0" collapsed="false">
      <c r="A6" s="4" t="n">
        <v>19</v>
      </c>
      <c r="B6" s="4" t="s">
        <v>16</v>
      </c>
      <c r="C6" s="4" t="s">
        <v>24</v>
      </c>
      <c r="D6" s="4" t="s">
        <v>25</v>
      </c>
      <c r="E6" s="4" t="s">
        <v>26</v>
      </c>
      <c r="F6" s="4" t="s">
        <v>20</v>
      </c>
      <c r="G6" s="4" t="n">
        <v>0.5</v>
      </c>
      <c r="H6" s="4" t="s">
        <v>27</v>
      </c>
      <c r="I6" s="5" t="n">
        <v>46296</v>
      </c>
      <c r="J6" s="5" t="n">
        <v>46302</v>
      </c>
      <c r="K6" s="6" t="s">
        <v>22</v>
      </c>
      <c r="L6" s="7"/>
      <c r="M6" s="6"/>
      <c r="N6" s="4" t="s">
        <v>23</v>
      </c>
    </row>
    <row r="7" customFormat="false" ht="23.85" hidden="false" customHeight="false" outlineLevel="0" collapsed="false">
      <c r="A7" s="4" t="n">
        <v>20</v>
      </c>
      <c r="B7" s="4" t="s">
        <v>16</v>
      </c>
      <c r="C7" s="4" t="s">
        <v>28</v>
      </c>
      <c r="D7" s="4" t="s">
        <v>25</v>
      </c>
      <c r="E7" s="4" t="s">
        <v>29</v>
      </c>
      <c r="F7" s="4" t="s">
        <v>20</v>
      </c>
      <c r="G7" s="4" t="n">
        <v>1</v>
      </c>
      <c r="H7" s="4" t="s">
        <v>21</v>
      </c>
      <c r="I7" s="5" t="n">
        <v>46296</v>
      </c>
      <c r="J7" s="5" t="n">
        <v>46302</v>
      </c>
      <c r="K7" s="6" t="s">
        <v>22</v>
      </c>
      <c r="L7" s="7"/>
      <c r="M7" s="6"/>
      <c r="N7" s="4" t="s">
        <v>23</v>
      </c>
    </row>
    <row r="8" customFormat="false" ht="23.85" hidden="false" customHeight="false" outlineLevel="0" collapsed="false">
      <c r="A8" s="4" t="n">
        <v>12</v>
      </c>
      <c r="B8" s="4" t="s">
        <v>16</v>
      </c>
      <c r="C8" s="4" t="s">
        <v>30</v>
      </c>
      <c r="D8" s="4" t="s">
        <v>25</v>
      </c>
      <c r="E8" s="4" t="s">
        <v>31</v>
      </c>
      <c r="F8" s="4" t="s">
        <v>32</v>
      </c>
      <c r="G8" s="4" t="n">
        <v>1.5</v>
      </c>
      <c r="H8" s="4" t="s">
        <v>27</v>
      </c>
      <c r="I8" s="5" t="n">
        <v>46296</v>
      </c>
      <c r="J8" s="5" t="n">
        <v>46301</v>
      </c>
      <c r="K8" s="6" t="s">
        <v>22</v>
      </c>
      <c r="L8" s="7"/>
      <c r="M8" s="6"/>
      <c r="N8" s="4" t="s">
        <v>33</v>
      </c>
    </row>
    <row r="9" customFormat="false" ht="23.85" hidden="false" customHeight="false" outlineLevel="0" collapsed="false">
      <c r="A9" s="4" t="n">
        <v>17</v>
      </c>
      <c r="B9" s="4" t="s">
        <v>16</v>
      </c>
      <c r="C9" s="4" t="s">
        <v>34</v>
      </c>
      <c r="D9" s="4" t="s">
        <v>35</v>
      </c>
      <c r="E9" s="4" t="s">
        <v>31</v>
      </c>
      <c r="F9" s="4" t="s">
        <v>36</v>
      </c>
      <c r="G9" s="4" t="n">
        <v>0.5</v>
      </c>
      <c r="H9" s="4" t="s">
        <v>27</v>
      </c>
      <c r="I9" s="5" t="n">
        <v>46296</v>
      </c>
      <c r="J9" s="5" t="n">
        <v>46301</v>
      </c>
      <c r="K9" s="6" t="s">
        <v>22</v>
      </c>
      <c r="L9" s="7"/>
      <c r="M9" s="6"/>
      <c r="N9" s="4" t="s">
        <v>33</v>
      </c>
    </row>
    <row r="10" customFormat="false" ht="23.85" hidden="false" customHeight="false" outlineLevel="0" collapsed="false">
      <c r="A10" s="4" t="n">
        <v>21</v>
      </c>
      <c r="B10" s="4" t="s">
        <v>16</v>
      </c>
      <c r="C10" s="4" t="s">
        <v>37</v>
      </c>
      <c r="D10" s="4" t="s">
        <v>38</v>
      </c>
      <c r="E10" s="4" t="s">
        <v>39</v>
      </c>
      <c r="F10" s="4" t="s">
        <v>36</v>
      </c>
      <c r="G10" s="4" t="n">
        <v>0.25</v>
      </c>
      <c r="H10" s="4" t="s">
        <v>40</v>
      </c>
      <c r="I10" s="5" t="n">
        <v>46296</v>
      </c>
      <c r="J10" s="5" t="n">
        <v>46302</v>
      </c>
      <c r="K10" s="6" t="s">
        <v>22</v>
      </c>
      <c r="L10" s="7"/>
      <c r="M10" s="6"/>
      <c r="N10" s="4" t="s">
        <v>23</v>
      </c>
    </row>
    <row r="11" customFormat="false" ht="23.85" hidden="false" customHeight="false" outlineLevel="0" collapsed="false">
      <c r="A11" s="4" t="n">
        <v>9</v>
      </c>
      <c r="B11" s="4" t="s">
        <v>41</v>
      </c>
      <c r="C11" s="4" t="s">
        <v>42</v>
      </c>
      <c r="D11" s="4" t="s">
        <v>35</v>
      </c>
      <c r="E11" s="4" t="s">
        <v>43</v>
      </c>
      <c r="F11" s="4" t="s">
        <v>20</v>
      </c>
      <c r="G11" s="4" t="n">
        <v>1.5</v>
      </c>
      <c r="H11" s="4" t="s">
        <v>44</v>
      </c>
      <c r="I11" s="5" t="n">
        <v>46303</v>
      </c>
      <c r="J11" s="5" t="n">
        <v>46308</v>
      </c>
      <c r="K11" s="6" t="s">
        <v>22</v>
      </c>
      <c r="L11" s="7"/>
      <c r="M11" s="6"/>
      <c r="N11" s="4" t="s">
        <v>45</v>
      </c>
    </row>
    <row r="12" customFormat="false" ht="35.05" hidden="false" customHeight="false" outlineLevel="0" collapsed="false">
      <c r="A12" s="4" t="n">
        <v>22</v>
      </c>
      <c r="B12" s="4" t="s">
        <v>41</v>
      </c>
      <c r="C12" s="4" t="s">
        <v>46</v>
      </c>
      <c r="D12" s="4" t="s">
        <v>47</v>
      </c>
      <c r="E12" s="4" t="s">
        <v>48</v>
      </c>
      <c r="F12" s="4" t="s">
        <v>20</v>
      </c>
      <c r="G12" s="4" t="n">
        <v>1</v>
      </c>
      <c r="H12" s="4" t="s">
        <v>21</v>
      </c>
      <c r="I12" s="5" t="n">
        <v>46303</v>
      </c>
      <c r="J12" s="5" t="n">
        <v>46309</v>
      </c>
      <c r="K12" s="6" t="s">
        <v>22</v>
      </c>
      <c r="L12" s="7"/>
      <c r="M12" s="6"/>
      <c r="N12" s="4" t="s">
        <v>23</v>
      </c>
    </row>
    <row r="13" customFormat="false" ht="23.85" hidden="false" customHeight="false" outlineLevel="0" collapsed="false">
      <c r="A13" s="4" t="n">
        <v>10</v>
      </c>
      <c r="B13" s="4" t="s">
        <v>41</v>
      </c>
      <c r="C13" s="4" t="s">
        <v>49</v>
      </c>
      <c r="D13" s="4" t="s">
        <v>35</v>
      </c>
      <c r="E13" s="4" t="s">
        <v>50</v>
      </c>
      <c r="F13" s="4" t="s">
        <v>20</v>
      </c>
      <c r="G13" s="4" t="n">
        <v>1.5</v>
      </c>
      <c r="H13" s="4" t="s">
        <v>27</v>
      </c>
      <c r="I13" s="5" t="n">
        <v>46303</v>
      </c>
      <c r="J13" s="5" t="n">
        <v>46308</v>
      </c>
      <c r="K13" s="6" t="s">
        <v>22</v>
      </c>
      <c r="L13" s="7"/>
      <c r="M13" s="6"/>
      <c r="N13" s="4" t="s">
        <v>33</v>
      </c>
    </row>
    <row r="14" customFormat="false" ht="15" hidden="false" customHeight="false" outlineLevel="0" collapsed="false">
      <c r="A14" s="4" t="n">
        <v>11</v>
      </c>
      <c r="B14" s="4" t="s">
        <v>41</v>
      </c>
      <c r="C14" s="4" t="s">
        <v>51</v>
      </c>
      <c r="D14" s="4" t="s">
        <v>52</v>
      </c>
      <c r="E14" s="4" t="s">
        <v>53</v>
      </c>
      <c r="F14" s="4" t="s">
        <v>32</v>
      </c>
      <c r="G14" s="4" t="n">
        <v>1</v>
      </c>
      <c r="H14" s="4" t="s">
        <v>27</v>
      </c>
      <c r="I14" s="5" t="n">
        <v>46303</v>
      </c>
      <c r="J14" s="5" t="n">
        <v>46308</v>
      </c>
      <c r="K14" s="6" t="s">
        <v>22</v>
      </c>
      <c r="L14" s="7"/>
      <c r="M14" s="6"/>
      <c r="N14" s="4" t="s">
        <v>54</v>
      </c>
    </row>
    <row r="15" customFormat="false" ht="23.85" hidden="false" customHeight="false" outlineLevel="0" collapsed="false">
      <c r="A15" s="4" t="n">
        <v>16</v>
      </c>
      <c r="B15" s="4" t="s">
        <v>41</v>
      </c>
      <c r="C15" s="4" t="s">
        <v>55</v>
      </c>
      <c r="D15" s="4" t="s">
        <v>25</v>
      </c>
      <c r="E15" s="4" t="s">
        <v>26</v>
      </c>
      <c r="F15" s="4" t="s">
        <v>20</v>
      </c>
      <c r="G15" s="4" t="n">
        <v>0.5</v>
      </c>
      <c r="H15" s="4" t="s">
        <v>40</v>
      </c>
      <c r="I15" s="5" t="n">
        <v>46308</v>
      </c>
      <c r="J15" s="5" t="n">
        <v>46310</v>
      </c>
      <c r="K15" s="6" t="s">
        <v>22</v>
      </c>
      <c r="L15" s="7"/>
      <c r="M15" s="6"/>
      <c r="N15" s="4" t="s">
        <v>56</v>
      </c>
    </row>
    <row r="16" customFormat="false" ht="46.25" hidden="false" customHeight="false" outlineLevel="0" collapsed="false">
      <c r="A16" s="4" t="n">
        <v>23</v>
      </c>
      <c r="B16" s="4" t="s">
        <v>57</v>
      </c>
      <c r="C16" s="4" t="s">
        <v>58</v>
      </c>
      <c r="D16" s="4" t="s">
        <v>59</v>
      </c>
      <c r="E16" s="4" t="s">
        <v>31</v>
      </c>
      <c r="F16" s="4" t="s">
        <v>36</v>
      </c>
      <c r="G16" s="4" t="n">
        <v>2</v>
      </c>
      <c r="H16" s="4" t="s">
        <v>21</v>
      </c>
      <c r="I16" s="5" t="n">
        <v>46310</v>
      </c>
      <c r="J16" s="5" t="n">
        <v>46316</v>
      </c>
      <c r="K16" s="6" t="s">
        <v>22</v>
      </c>
      <c r="L16" s="7"/>
      <c r="M16" s="6"/>
      <c r="N16" s="4" t="s">
        <v>60</v>
      </c>
    </row>
    <row r="17" customFormat="false" ht="23.85" hidden="false" customHeight="false" outlineLevel="0" collapsed="false">
      <c r="A17" s="4" t="n">
        <v>24</v>
      </c>
      <c r="B17" s="4" t="s">
        <v>57</v>
      </c>
      <c r="C17" s="4" t="s">
        <v>61</v>
      </c>
      <c r="D17" s="4" t="s">
        <v>35</v>
      </c>
      <c r="E17" s="4" t="s">
        <v>31</v>
      </c>
      <c r="F17" s="4" t="s">
        <v>36</v>
      </c>
      <c r="G17" s="4" t="n">
        <v>0.5</v>
      </c>
      <c r="H17" s="4" t="s">
        <v>21</v>
      </c>
      <c r="I17" s="5" t="n">
        <v>46310</v>
      </c>
      <c r="J17" s="5" t="n">
        <v>46316</v>
      </c>
      <c r="K17" s="6" t="s">
        <v>22</v>
      </c>
      <c r="L17" s="7"/>
      <c r="M17" s="6"/>
      <c r="N17" s="4" t="s">
        <v>23</v>
      </c>
    </row>
    <row r="18" customFormat="false" ht="15" hidden="false" customHeight="false" outlineLevel="0" collapsed="false">
      <c r="A18" s="4" t="n">
        <v>13</v>
      </c>
      <c r="B18" s="4" t="s">
        <v>62</v>
      </c>
      <c r="C18" s="4" t="s">
        <v>63</v>
      </c>
      <c r="D18" s="4" t="s">
        <v>25</v>
      </c>
      <c r="E18" s="4" t="s">
        <v>64</v>
      </c>
      <c r="F18" s="4" t="s">
        <v>32</v>
      </c>
      <c r="G18" s="4" t="n">
        <v>0.5</v>
      </c>
      <c r="H18" s="4" t="s">
        <v>40</v>
      </c>
      <c r="I18" s="5" t="n">
        <v>46317</v>
      </c>
      <c r="J18" s="5" t="n">
        <v>46322</v>
      </c>
      <c r="K18" s="6" t="s">
        <v>22</v>
      </c>
      <c r="L18" s="7"/>
      <c r="M18" s="6"/>
      <c r="N18" s="4" t="s">
        <v>33</v>
      </c>
    </row>
    <row r="19" customFormat="false" ht="23.85" hidden="false" customHeight="false" outlineLevel="0" collapsed="false">
      <c r="A19" s="4" t="n">
        <v>25</v>
      </c>
      <c r="B19" s="4" t="s">
        <v>62</v>
      </c>
      <c r="C19" s="4" t="s">
        <v>65</v>
      </c>
      <c r="D19" s="4" t="s">
        <v>25</v>
      </c>
      <c r="E19" s="4" t="s">
        <v>31</v>
      </c>
      <c r="F19" s="4" t="s">
        <v>36</v>
      </c>
      <c r="G19" s="4" t="n">
        <v>0.25</v>
      </c>
      <c r="H19" s="4" t="s">
        <v>44</v>
      </c>
      <c r="I19" s="5" t="n">
        <v>46317</v>
      </c>
      <c r="J19" s="5" t="n">
        <v>46323</v>
      </c>
      <c r="K19" s="6" t="s">
        <v>22</v>
      </c>
      <c r="L19" s="7"/>
      <c r="M19" s="6"/>
      <c r="N19" s="4" t="s">
        <v>23</v>
      </c>
    </row>
    <row r="20" customFormat="false" ht="23.85" hidden="false" customHeight="false" outlineLevel="0" collapsed="false">
      <c r="A20" s="4" t="n">
        <v>26</v>
      </c>
      <c r="B20" s="4" t="s">
        <v>62</v>
      </c>
      <c r="C20" s="4" t="s">
        <v>66</v>
      </c>
      <c r="D20" s="4" t="s">
        <v>67</v>
      </c>
      <c r="E20" s="4" t="s">
        <v>48</v>
      </c>
      <c r="F20" s="4" t="s">
        <v>32</v>
      </c>
      <c r="G20" s="4" t="n">
        <v>0.5</v>
      </c>
      <c r="H20" s="4" t="s">
        <v>27</v>
      </c>
      <c r="I20" s="5" t="n">
        <v>46317</v>
      </c>
      <c r="J20" s="5" t="n">
        <v>46323</v>
      </c>
      <c r="K20" s="6" t="s">
        <v>22</v>
      </c>
      <c r="L20" s="7"/>
      <c r="M20" s="6"/>
      <c r="N20" s="4" t="s">
        <v>23</v>
      </c>
    </row>
    <row r="21" customFormat="false" ht="23.85" hidden="false" customHeight="false" outlineLevel="0" collapsed="false">
      <c r="A21" s="4" t="n">
        <v>27</v>
      </c>
      <c r="B21" s="4" t="s">
        <v>62</v>
      </c>
      <c r="C21" s="4" t="s">
        <v>68</v>
      </c>
      <c r="D21" s="4" t="s">
        <v>52</v>
      </c>
      <c r="E21" s="4" t="s">
        <v>26</v>
      </c>
      <c r="F21" s="4" t="s">
        <v>20</v>
      </c>
      <c r="G21" s="4" t="n">
        <v>1</v>
      </c>
      <c r="H21" s="4" t="s">
        <v>69</v>
      </c>
      <c r="I21" s="5" t="n">
        <v>46317</v>
      </c>
      <c r="J21" s="5" t="n">
        <v>46323</v>
      </c>
      <c r="K21" s="6" t="s">
        <v>22</v>
      </c>
      <c r="L21" s="7"/>
      <c r="M21" s="6"/>
      <c r="N21" s="4" t="s">
        <v>23</v>
      </c>
    </row>
    <row r="22" customFormat="false" ht="15" hidden="false" customHeight="false" outlineLevel="0" collapsed="false">
      <c r="A22" s="4" t="n">
        <v>16</v>
      </c>
      <c r="B22" s="4" t="s">
        <v>62</v>
      </c>
      <c r="C22" s="4" t="s">
        <v>70</v>
      </c>
      <c r="D22" s="4" t="s">
        <v>25</v>
      </c>
      <c r="E22" s="4" t="s">
        <v>26</v>
      </c>
      <c r="F22" s="4" t="s">
        <v>20</v>
      </c>
      <c r="G22" s="4" t="n">
        <v>1</v>
      </c>
      <c r="H22" s="4" t="s">
        <v>69</v>
      </c>
      <c r="I22" s="5" t="n">
        <v>46322</v>
      </c>
      <c r="J22" s="5" t="n">
        <v>46323</v>
      </c>
      <c r="K22" s="6" t="s">
        <v>22</v>
      </c>
      <c r="L22" s="7"/>
      <c r="M22" s="6"/>
      <c r="N22" s="4" t="s">
        <v>56</v>
      </c>
    </row>
    <row r="23" customFormat="false" ht="15" hidden="false" customHeight="false" outlineLevel="0" collapsed="false">
      <c r="A23" s="4" t="n">
        <v>14</v>
      </c>
      <c r="B23" s="4" t="s">
        <v>71</v>
      </c>
      <c r="C23" s="4" t="s">
        <v>72</v>
      </c>
      <c r="D23" s="4"/>
      <c r="E23" s="4" t="s">
        <v>39</v>
      </c>
      <c r="F23" s="4" t="s">
        <v>36</v>
      </c>
      <c r="G23" s="4" t="n">
        <v>0</v>
      </c>
      <c r="H23" s="4"/>
      <c r="I23" s="5"/>
      <c r="J23" s="5"/>
      <c r="K23" s="6" t="s">
        <v>71</v>
      </c>
      <c r="L23" s="7"/>
      <c r="M23" s="6"/>
      <c r="N23" s="4" t="s">
        <v>73</v>
      </c>
    </row>
    <row r="24" customFormat="false" ht="23.85" hidden="false" customHeight="false" outlineLevel="0" collapsed="false">
      <c r="A24" s="4" t="n">
        <v>28</v>
      </c>
      <c r="B24" s="4" t="s">
        <v>74</v>
      </c>
      <c r="C24" s="4" t="s">
        <v>75</v>
      </c>
      <c r="D24" s="4" t="s">
        <v>52</v>
      </c>
      <c r="E24" s="4" t="s">
        <v>31</v>
      </c>
      <c r="F24" s="4" t="s">
        <v>36</v>
      </c>
      <c r="G24" s="4" t="n">
        <v>1</v>
      </c>
      <c r="H24" s="4" t="s">
        <v>21</v>
      </c>
      <c r="I24" s="5" t="n">
        <v>46324</v>
      </c>
      <c r="J24" s="5" t="n">
        <v>46337</v>
      </c>
      <c r="K24" s="6" t="s">
        <v>22</v>
      </c>
      <c r="L24" s="7"/>
      <c r="M24" s="6"/>
      <c r="N24" s="4" t="s">
        <v>23</v>
      </c>
    </row>
    <row r="25" customFormat="false" ht="23.85" hidden="false" customHeight="false" outlineLevel="0" collapsed="false">
      <c r="A25" s="4" t="n">
        <v>29</v>
      </c>
      <c r="B25" s="4" t="s">
        <v>74</v>
      </c>
      <c r="C25" s="4" t="s">
        <v>76</v>
      </c>
      <c r="D25" s="4" t="s">
        <v>59</v>
      </c>
      <c r="E25" s="4" t="s">
        <v>77</v>
      </c>
      <c r="F25" s="4" t="s">
        <v>32</v>
      </c>
      <c r="G25" s="4" t="n">
        <v>2</v>
      </c>
      <c r="H25" s="4" t="s">
        <v>21</v>
      </c>
      <c r="I25" s="5" t="n">
        <v>46324</v>
      </c>
      <c r="J25" s="5" t="n">
        <v>46337</v>
      </c>
      <c r="K25" s="6" t="s">
        <v>22</v>
      </c>
      <c r="L25" s="7"/>
      <c r="M25" s="6"/>
      <c r="N25" s="4" t="s">
        <v>23</v>
      </c>
    </row>
    <row r="26" customFormat="false" ht="23.85" hidden="false" customHeight="false" outlineLevel="0" collapsed="false">
      <c r="A26" s="4" t="n">
        <v>30</v>
      </c>
      <c r="B26" s="4" t="s">
        <v>74</v>
      </c>
      <c r="C26" s="4" t="s">
        <v>78</v>
      </c>
      <c r="D26" s="4" t="s">
        <v>35</v>
      </c>
      <c r="E26" s="4" t="s">
        <v>31</v>
      </c>
      <c r="F26" s="4" t="s">
        <v>36</v>
      </c>
      <c r="G26" s="4" t="n">
        <v>0.5</v>
      </c>
      <c r="H26" s="4" t="s">
        <v>27</v>
      </c>
      <c r="I26" s="5" t="n">
        <v>46324</v>
      </c>
      <c r="J26" s="5" t="n">
        <v>46337</v>
      </c>
      <c r="K26" s="6" t="s">
        <v>22</v>
      </c>
      <c r="L26" s="7"/>
      <c r="M26" s="6"/>
      <c r="N26" s="4" t="s">
        <v>23</v>
      </c>
    </row>
    <row r="27" customFormat="false" ht="15" hidden="false" customHeight="false" outlineLevel="0" collapsed="false">
      <c r="A27" s="4" t="n">
        <v>31</v>
      </c>
      <c r="B27" s="4" t="s">
        <v>74</v>
      </c>
      <c r="C27" s="4" t="s">
        <v>79</v>
      </c>
      <c r="D27" s="4" t="s">
        <v>80</v>
      </c>
      <c r="E27" s="4" t="s">
        <v>81</v>
      </c>
      <c r="F27" s="4" t="s">
        <v>32</v>
      </c>
      <c r="G27" s="4" t="n">
        <v>0.25</v>
      </c>
      <c r="H27" s="4" t="s">
        <v>40</v>
      </c>
      <c r="I27" s="5" t="n">
        <v>46324</v>
      </c>
      <c r="J27" s="5" t="n">
        <v>46337</v>
      </c>
      <c r="K27" s="6" t="s">
        <v>22</v>
      </c>
      <c r="L27" s="7"/>
      <c r="M27" s="6"/>
      <c r="N27" s="4" t="s">
        <v>23</v>
      </c>
    </row>
    <row r="28" customFormat="false" ht="35.05" hidden="false" customHeight="false" outlineLevel="0" collapsed="false">
      <c r="A28" s="4" t="n">
        <v>32</v>
      </c>
      <c r="B28" s="4" t="s">
        <v>82</v>
      </c>
      <c r="C28" s="4" t="s">
        <v>83</v>
      </c>
      <c r="D28" s="4" t="s">
        <v>35</v>
      </c>
      <c r="E28" s="4" t="s">
        <v>84</v>
      </c>
      <c r="F28" s="4" t="s">
        <v>20</v>
      </c>
      <c r="G28" s="4" t="n">
        <v>1.5</v>
      </c>
      <c r="H28" s="4" t="s">
        <v>27</v>
      </c>
      <c r="I28" s="5" t="n">
        <v>46338</v>
      </c>
      <c r="J28" s="5" t="n">
        <v>46351</v>
      </c>
      <c r="K28" s="6" t="s">
        <v>22</v>
      </c>
      <c r="L28" s="7"/>
      <c r="M28" s="6"/>
      <c r="N28" s="4" t="s">
        <v>23</v>
      </c>
    </row>
    <row r="29" customFormat="false" ht="15" hidden="false" customHeight="false" outlineLevel="0" collapsed="false">
      <c r="A29" s="4" t="n">
        <v>33</v>
      </c>
      <c r="B29" s="4" t="s">
        <v>82</v>
      </c>
      <c r="C29" s="4" t="s">
        <v>85</v>
      </c>
      <c r="D29" s="4" t="s">
        <v>35</v>
      </c>
      <c r="E29" s="4" t="s">
        <v>31</v>
      </c>
      <c r="F29" s="4" t="s">
        <v>36</v>
      </c>
      <c r="G29" s="4" t="n">
        <v>0.5</v>
      </c>
      <c r="H29" s="4" t="s">
        <v>27</v>
      </c>
      <c r="I29" s="5" t="n">
        <v>46338</v>
      </c>
      <c r="J29" s="5" t="n">
        <v>46351</v>
      </c>
      <c r="K29" s="6" t="s">
        <v>22</v>
      </c>
      <c r="L29" s="7"/>
      <c r="M29" s="6"/>
      <c r="N29" s="4" t="s">
        <v>23</v>
      </c>
    </row>
    <row r="30" customFormat="false" ht="23.85" hidden="false" customHeight="false" outlineLevel="0" collapsed="false">
      <c r="A30" s="4" t="n">
        <v>16</v>
      </c>
      <c r="B30" s="4" t="s">
        <v>82</v>
      </c>
      <c r="C30" s="4" t="s">
        <v>86</v>
      </c>
      <c r="D30" s="4" t="s">
        <v>25</v>
      </c>
      <c r="E30" s="4" t="s">
        <v>26</v>
      </c>
      <c r="F30" s="4" t="s">
        <v>20</v>
      </c>
      <c r="G30" s="4" t="n">
        <v>1</v>
      </c>
      <c r="H30" s="4" t="s">
        <v>69</v>
      </c>
      <c r="I30" s="5" t="n">
        <v>46350</v>
      </c>
      <c r="J30" s="5" t="n">
        <v>46351</v>
      </c>
      <c r="K30" s="6" t="s">
        <v>22</v>
      </c>
      <c r="L30" s="7"/>
      <c r="M30" s="6"/>
      <c r="N30" s="4" t="s">
        <v>56</v>
      </c>
    </row>
    <row r="31" customFormat="false" ht="23.85" hidden="false" customHeight="false" outlineLevel="0" collapsed="false">
      <c r="A31" s="4" t="n">
        <v>34</v>
      </c>
      <c r="B31" s="4" t="s">
        <v>87</v>
      </c>
      <c r="C31" s="4" t="s">
        <v>88</v>
      </c>
      <c r="D31" s="4" t="s">
        <v>52</v>
      </c>
      <c r="E31" s="4" t="s">
        <v>31</v>
      </c>
      <c r="F31" s="4" t="s">
        <v>36</v>
      </c>
      <c r="G31" s="4" t="n">
        <v>0.5</v>
      </c>
      <c r="H31" s="4" t="s">
        <v>27</v>
      </c>
      <c r="I31" s="5" t="n">
        <v>46352</v>
      </c>
      <c r="J31" s="5" t="n">
        <v>46365</v>
      </c>
      <c r="K31" s="6" t="s">
        <v>22</v>
      </c>
      <c r="L31" s="7"/>
      <c r="M31" s="6"/>
      <c r="N31" s="4" t="s">
        <v>23</v>
      </c>
    </row>
    <row r="32" customFormat="false" ht="15" hidden="false" customHeight="false" outlineLevel="0" collapsed="false">
      <c r="A32" s="4" t="n">
        <v>35</v>
      </c>
      <c r="B32" s="4" t="s">
        <v>87</v>
      </c>
      <c r="C32" s="4" t="s">
        <v>89</v>
      </c>
      <c r="D32" s="4" t="s">
        <v>59</v>
      </c>
      <c r="E32" s="4" t="s">
        <v>90</v>
      </c>
      <c r="F32" s="4" t="s">
        <v>20</v>
      </c>
      <c r="G32" s="4" t="n">
        <v>0.5</v>
      </c>
      <c r="H32" s="4" t="s">
        <v>91</v>
      </c>
      <c r="I32" s="5" t="n">
        <v>46357</v>
      </c>
      <c r="J32" s="5" t="n">
        <v>46365</v>
      </c>
      <c r="K32" s="6" t="s">
        <v>22</v>
      </c>
      <c r="L32" s="7"/>
      <c r="M32" s="6"/>
      <c r="N32" s="4" t="s">
        <v>23</v>
      </c>
    </row>
    <row r="33" customFormat="false" ht="23.85" hidden="false" customHeight="false" outlineLevel="0" collapsed="false">
      <c r="A33" s="4" t="n">
        <v>36</v>
      </c>
      <c r="B33" s="4" t="s">
        <v>87</v>
      </c>
      <c r="C33" s="4" t="s">
        <v>92</v>
      </c>
      <c r="D33" s="4" t="s">
        <v>93</v>
      </c>
      <c r="E33" s="4" t="s">
        <v>43</v>
      </c>
      <c r="F33" s="4" t="s">
        <v>32</v>
      </c>
      <c r="G33" s="4" t="n">
        <v>1</v>
      </c>
      <c r="H33" s="4" t="s">
        <v>40</v>
      </c>
      <c r="I33" s="5" t="n">
        <v>46352</v>
      </c>
      <c r="J33" s="5" t="n">
        <v>46365</v>
      </c>
      <c r="K33" s="6" t="s">
        <v>22</v>
      </c>
      <c r="L33" s="7"/>
      <c r="M33" s="6"/>
      <c r="N33" s="4" t="s">
        <v>23</v>
      </c>
    </row>
    <row r="34" customFormat="false" ht="23.85" hidden="false" customHeight="false" outlineLevel="0" collapsed="false">
      <c r="A34" s="4" t="n">
        <v>37</v>
      </c>
      <c r="B34" s="4" t="s">
        <v>94</v>
      </c>
      <c r="C34" s="4" t="s">
        <v>95</v>
      </c>
      <c r="D34" s="4" t="s">
        <v>96</v>
      </c>
      <c r="E34" s="4" t="s">
        <v>31</v>
      </c>
      <c r="F34" s="4" t="s">
        <v>36</v>
      </c>
      <c r="G34" s="4" t="n">
        <v>0</v>
      </c>
      <c r="H34" s="4" t="s">
        <v>97</v>
      </c>
      <c r="I34" s="5" t="n">
        <v>46366</v>
      </c>
      <c r="J34" s="5" t="n">
        <v>46387</v>
      </c>
      <c r="K34" s="6" t="s">
        <v>22</v>
      </c>
      <c r="L34" s="7"/>
      <c r="M34" s="6"/>
      <c r="N34" s="4" t="s">
        <v>23</v>
      </c>
    </row>
    <row r="35" customFormat="false" ht="23.85" hidden="false" customHeight="false" outlineLevel="0" collapsed="false">
      <c r="A35" s="4" t="n">
        <v>38</v>
      </c>
      <c r="B35" s="4" t="s">
        <v>94</v>
      </c>
      <c r="C35" s="4" t="s">
        <v>98</v>
      </c>
      <c r="D35" s="4" t="s">
        <v>35</v>
      </c>
      <c r="E35" s="4" t="s">
        <v>31</v>
      </c>
      <c r="F35" s="4" t="s">
        <v>36</v>
      </c>
      <c r="G35" s="4" t="n">
        <v>0.5</v>
      </c>
      <c r="H35" s="4" t="s">
        <v>27</v>
      </c>
      <c r="I35" s="5" t="n">
        <v>46366</v>
      </c>
      <c r="J35" s="5" t="n">
        <v>46387</v>
      </c>
      <c r="K35" s="6" t="s">
        <v>22</v>
      </c>
      <c r="L35" s="7"/>
      <c r="M35" s="6"/>
      <c r="N35" s="4" t="s">
        <v>23</v>
      </c>
    </row>
    <row r="36" customFormat="false" ht="23.85" hidden="false" customHeight="false" outlineLevel="0" collapsed="false">
      <c r="A36" s="4" t="n">
        <v>39</v>
      </c>
      <c r="B36" s="4" t="s">
        <v>94</v>
      </c>
      <c r="C36" s="4" t="s">
        <v>99</v>
      </c>
      <c r="D36" s="4" t="s">
        <v>25</v>
      </c>
      <c r="E36" s="4" t="s">
        <v>26</v>
      </c>
      <c r="F36" s="4" t="s">
        <v>20</v>
      </c>
      <c r="G36" s="4" t="n">
        <v>1.5</v>
      </c>
      <c r="H36" s="4" t="s">
        <v>69</v>
      </c>
      <c r="I36" s="5" t="n">
        <v>46371</v>
      </c>
      <c r="J36" s="5" t="n">
        <v>46387</v>
      </c>
      <c r="K36" s="6" t="s">
        <v>22</v>
      </c>
      <c r="L36" s="7"/>
      <c r="M36" s="6"/>
      <c r="N36" s="4" t="s">
        <v>23</v>
      </c>
    </row>
    <row r="37" customFormat="false" ht="23.85" hidden="false" customHeight="false" outlineLevel="0" collapsed="false">
      <c r="A37" s="4" t="n">
        <v>40</v>
      </c>
      <c r="B37" s="4" t="s">
        <v>100</v>
      </c>
      <c r="C37" s="4" t="s">
        <v>101</v>
      </c>
      <c r="D37" s="4" t="s">
        <v>102</v>
      </c>
      <c r="E37" s="4" t="s">
        <v>103</v>
      </c>
      <c r="F37" s="4" t="s">
        <v>20</v>
      </c>
      <c r="G37" s="4" t="n">
        <v>3</v>
      </c>
      <c r="H37" s="4" t="s">
        <v>21</v>
      </c>
      <c r="I37" s="5" t="n">
        <v>46392</v>
      </c>
      <c r="J37" s="5" t="n">
        <v>46418</v>
      </c>
      <c r="K37" s="6" t="s">
        <v>22</v>
      </c>
      <c r="L37" s="7"/>
      <c r="M37" s="6"/>
      <c r="N37" s="4" t="s">
        <v>23</v>
      </c>
    </row>
    <row r="38" customFormat="false" ht="23.85" hidden="false" customHeight="false" outlineLevel="0" collapsed="false">
      <c r="A38" s="4" t="n">
        <v>41</v>
      </c>
      <c r="B38" s="4" t="s">
        <v>104</v>
      </c>
      <c r="C38" s="4" t="s">
        <v>105</v>
      </c>
      <c r="D38" s="4" t="s">
        <v>106</v>
      </c>
      <c r="E38" s="4" t="s">
        <v>31</v>
      </c>
      <c r="F38" s="4" t="s">
        <v>36</v>
      </c>
      <c r="G38" s="4" t="n">
        <v>0.5</v>
      </c>
      <c r="H38" s="4" t="s">
        <v>27</v>
      </c>
      <c r="I38" s="5" t="n">
        <v>46419</v>
      </c>
      <c r="J38" s="5" t="n">
        <v>46446</v>
      </c>
      <c r="K38" s="6" t="s">
        <v>22</v>
      </c>
      <c r="L38" s="7"/>
      <c r="M38" s="6"/>
      <c r="N38" s="4" t="s">
        <v>23</v>
      </c>
    </row>
    <row r="39" customFormat="false" ht="23.85" hidden="false" customHeight="false" outlineLevel="0" collapsed="false">
      <c r="A39" s="4" t="n">
        <v>42</v>
      </c>
      <c r="B39" s="4" t="s">
        <v>107</v>
      </c>
      <c r="C39" s="4" t="s">
        <v>108</v>
      </c>
      <c r="D39" s="4" t="s">
        <v>109</v>
      </c>
      <c r="E39" s="4" t="s">
        <v>64</v>
      </c>
      <c r="F39" s="4" t="s">
        <v>32</v>
      </c>
      <c r="G39" s="4" t="n">
        <v>2</v>
      </c>
      <c r="H39" s="4" t="s">
        <v>27</v>
      </c>
      <c r="I39" s="5" t="n">
        <v>46447</v>
      </c>
      <c r="J39" s="5" t="n">
        <v>46477</v>
      </c>
      <c r="K39" s="6" t="s">
        <v>22</v>
      </c>
      <c r="L39" s="7"/>
      <c r="M39" s="6"/>
      <c r="N39" s="4" t="s">
        <v>23</v>
      </c>
    </row>
    <row r="40" customFormat="false" ht="23.85" hidden="false" customHeight="false" outlineLevel="0" collapsed="false">
      <c r="A40" s="4" t="n">
        <v>43</v>
      </c>
      <c r="B40" s="4" t="s">
        <v>110</v>
      </c>
      <c r="C40" s="4" t="s">
        <v>111</v>
      </c>
      <c r="D40" s="4" t="s">
        <v>25</v>
      </c>
      <c r="E40" s="4" t="s">
        <v>81</v>
      </c>
      <c r="F40" s="4" t="s">
        <v>32</v>
      </c>
      <c r="G40" s="4" t="n">
        <v>1</v>
      </c>
      <c r="H40" s="4" t="s">
        <v>21</v>
      </c>
      <c r="I40" s="5"/>
      <c r="J40" s="5"/>
      <c r="K40" s="6" t="s">
        <v>22</v>
      </c>
      <c r="L40" s="7"/>
      <c r="M40" s="6"/>
      <c r="N40" s="4" t="s">
        <v>23</v>
      </c>
    </row>
    <row r="42" customFormat="false" ht="15" hidden="false" customHeight="false" outlineLevel="0" collapsed="false">
      <c r="A42" s="8" t="s">
        <v>112</v>
      </c>
    </row>
    <row r="43" customFormat="false" ht="15" hidden="false" customHeight="false" outlineLevel="0" collapsed="false">
      <c r="A43" s="9" t="n">
        <v>1</v>
      </c>
      <c r="B43" s="9" t="s">
        <v>113</v>
      </c>
      <c r="C43" s="9" t="s">
        <v>114</v>
      </c>
      <c r="D43" s="9" t="s">
        <v>25</v>
      </c>
      <c r="E43" s="9" t="s">
        <v>39</v>
      </c>
      <c r="F43" s="9" t="s">
        <v>32</v>
      </c>
      <c r="G43" s="9" t="n">
        <v>1</v>
      </c>
      <c r="H43" s="9" t="s">
        <v>27</v>
      </c>
      <c r="I43" s="10" t="n">
        <v>46293</v>
      </c>
      <c r="J43" s="10" t="n">
        <v>46295</v>
      </c>
      <c r="K43" s="9" t="s">
        <v>115</v>
      </c>
      <c r="L43" s="10" t="n">
        <v>46294</v>
      </c>
      <c r="M43" s="9" t="s">
        <v>116</v>
      </c>
      <c r="N43" s="9" t="s">
        <v>33</v>
      </c>
    </row>
  </sheetData>
  <autoFilter ref="A4:N40"/>
  <mergeCells count="1">
    <mergeCell ref="A2:N2"/>
  </mergeCells>
  <conditionalFormatting sqref="K5:K40">
    <cfRule type="cellIs" priority="2" operator="equal" aboveAverage="0" equalAverage="0" bottom="0" percent="0" rank="0" text="" dxfId="4">
      <formula>"Klaar"</formula>
    </cfRule>
    <cfRule type="cellIs" priority="3" operator="equal" aboveAverage="0" equalAverage="0" bottom="0" percent="0" rank="0" text="" dxfId="5">
      <formula>"Bezig"</formula>
    </cfRule>
  </conditionalFormatting>
  <conditionalFormatting sqref="J5:J40">
    <cfRule type="expression" priority="4" aboveAverage="0" equalAverage="0" bottom="0" percent="0" rank="0" text="" dxfId="6">
      <formula>AND(ISNUMBER($J5),$J5&lt;TODAY(),$K5&lt;&gt;"Klaar",$K5&lt;&gt;"Uitgesteld",$K5&lt;&gt;"Vervalt")</formula>
    </cfRule>
  </conditionalFormatting>
  <dataValidations count="1">
    <dataValidation allowBlank="true" errorStyle="stop" operator="between" showDropDown="false" showErrorMessage="false" showInputMessage="false" sqref="K5:K40" type="list">
      <formula1>"Open,Bezig,Klaar,Uitgesteld,Vervalt"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0"/>
    <col collapsed="false" customWidth="true" hidden="false" outlineLevel="0" max="4" min="4" style="0" width="18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1" t="s">
        <v>117</v>
      </c>
    </row>
    <row r="2" customFormat="false" ht="15" hidden="false" customHeight="false" outlineLevel="0" collapsed="false">
      <c r="A2" s="8" t="s">
        <v>118</v>
      </c>
    </row>
    <row r="4" customFormat="false" ht="15" hidden="false" customHeight="false" outlineLevel="0" collapsed="false">
      <c r="A4" s="3" t="s">
        <v>12</v>
      </c>
      <c r="B4" s="3" t="s">
        <v>119</v>
      </c>
    </row>
    <row r="5" customFormat="false" ht="15" hidden="false" customHeight="false" outlineLevel="0" collapsed="false">
      <c r="A5" s="11" t="s">
        <v>22</v>
      </c>
      <c r="B5" s="11" t="n">
        <f aca="false">COUNTIF(Planning!$K$5:$K$40,A5)</f>
        <v>35</v>
      </c>
    </row>
    <row r="6" customFormat="false" ht="15" hidden="false" customHeight="false" outlineLevel="0" collapsed="false">
      <c r="A6" s="11" t="s">
        <v>120</v>
      </c>
      <c r="B6" s="11" t="n">
        <f aca="false">COUNTIF(Planning!$K$5:$K$40,A6)</f>
        <v>0</v>
      </c>
    </row>
    <row r="7" customFormat="false" ht="15" hidden="false" customHeight="false" outlineLevel="0" collapsed="false">
      <c r="A7" s="11" t="s">
        <v>115</v>
      </c>
      <c r="B7" s="11" t="n">
        <f aca="false">COUNTIF(Planning!$K$5:$K$40,A7)</f>
        <v>0</v>
      </c>
    </row>
    <row r="8" customFormat="false" ht="15" hidden="false" customHeight="false" outlineLevel="0" collapsed="false">
      <c r="A8" s="11" t="s">
        <v>71</v>
      </c>
      <c r="B8" s="11" t="n">
        <f aca="false">COUNTIF(Planning!$K$5:$K$40,A8)</f>
        <v>1</v>
      </c>
    </row>
    <row r="9" customFormat="false" ht="15" hidden="false" customHeight="false" outlineLevel="0" collapsed="false">
      <c r="A9" s="11" t="s">
        <v>121</v>
      </c>
      <c r="B9" s="11" t="n">
        <f aca="false">COUNTIF(Planning!$K$5:$K$40,A9)</f>
        <v>0</v>
      </c>
    </row>
    <row r="10" customFormat="false" ht="15" hidden="false" customHeight="false" outlineLevel="0" collapsed="false">
      <c r="A10" s="12" t="s">
        <v>122</v>
      </c>
      <c r="B10" s="12" t="n">
        <f aca="false">COUNTA(Planning!$K$5:$K$40)</f>
        <v>36</v>
      </c>
    </row>
    <row r="11" customFormat="false" ht="15" hidden="false" customHeight="false" outlineLevel="0" collapsed="false">
      <c r="A11" s="12" t="s">
        <v>123</v>
      </c>
      <c r="B11" s="12" t="n">
        <f aca="true">SUMPRODUCT(ISNUMBER(Planning!$J$5:$J$40)*(Planning!$J$5:$J$40&lt;TODAY())*(Planning!$K$5:$K$40&lt;&gt;"Klaar")*(Planning!$K$5:$K$40&lt;&gt;"Uitgesteld")*(Planning!$K$5:$K$40&lt;&gt;"Vervalt"))</f>
        <v>0</v>
      </c>
    </row>
    <row r="13" customFormat="false" ht="15" hidden="false" customHeight="false" outlineLevel="0" collapsed="false">
      <c r="A13" s="3" t="s">
        <v>3</v>
      </c>
      <c r="B13" s="3" t="s">
        <v>124</v>
      </c>
      <c r="C13" s="3" t="s">
        <v>115</v>
      </c>
      <c r="D13" s="3" t="s">
        <v>125</v>
      </c>
      <c r="E13" s="3" t="s">
        <v>126</v>
      </c>
    </row>
    <row r="14" customFormat="false" ht="15" hidden="false" customHeight="false" outlineLevel="0" collapsed="false">
      <c r="A14" s="11" t="s">
        <v>16</v>
      </c>
      <c r="B14" s="11" t="n">
        <f aca="false">COUNTIF(Planning!$B$5:$B$40,A14)</f>
        <v>6</v>
      </c>
      <c r="C14" s="11" t="n">
        <f aca="false">COUNTIFS(Planning!$B$5:$B$40,A14,Planning!$K$5:$K$40,"Klaar")</f>
        <v>0</v>
      </c>
      <c r="D14" s="11" t="n">
        <f aca="false">SUMIF(Planning!$B$5:$B$40,A14,Planning!$G$5:$G$40)</f>
        <v>6.75</v>
      </c>
      <c r="E14" s="11" t="n">
        <f aca="false">SUMIFS(Planning!$G$5:$G$40,Planning!$B$5:$B$40,A14,Planning!$K$5:$K$40,"Klaar")</f>
        <v>0</v>
      </c>
    </row>
    <row r="15" customFormat="false" ht="15" hidden="false" customHeight="false" outlineLevel="0" collapsed="false">
      <c r="A15" s="11" t="s">
        <v>41</v>
      </c>
      <c r="B15" s="11" t="n">
        <f aca="false">COUNTIF(Planning!$B$5:$B$40,A15)</f>
        <v>5</v>
      </c>
      <c r="C15" s="11" t="n">
        <f aca="false">COUNTIFS(Planning!$B$5:$B$40,A15,Planning!$K$5:$K$40,"Klaar")</f>
        <v>0</v>
      </c>
      <c r="D15" s="11" t="n">
        <f aca="false">SUMIF(Planning!$B$5:$B$40,A15,Planning!$G$5:$G$40)</f>
        <v>5.5</v>
      </c>
      <c r="E15" s="11" t="n">
        <f aca="false">SUMIFS(Planning!$G$5:$G$40,Planning!$B$5:$B$40,A15,Planning!$K$5:$K$40,"Klaar")</f>
        <v>0</v>
      </c>
    </row>
    <row r="16" customFormat="false" ht="15" hidden="false" customHeight="false" outlineLevel="0" collapsed="false">
      <c r="A16" s="11" t="s">
        <v>57</v>
      </c>
      <c r="B16" s="11" t="n">
        <f aca="false">COUNTIF(Planning!$B$5:$B$40,A16)</f>
        <v>2</v>
      </c>
      <c r="C16" s="11" t="n">
        <f aca="false">COUNTIFS(Planning!$B$5:$B$40,A16,Planning!$K$5:$K$40,"Klaar")</f>
        <v>0</v>
      </c>
      <c r="D16" s="11" t="n">
        <f aca="false">SUMIF(Planning!$B$5:$B$40,A16,Planning!$G$5:$G$40)</f>
        <v>2.5</v>
      </c>
      <c r="E16" s="11" t="n">
        <f aca="false">SUMIFS(Planning!$G$5:$G$40,Planning!$B$5:$B$40,A16,Planning!$K$5:$K$40,"Klaar")</f>
        <v>0</v>
      </c>
    </row>
    <row r="17" customFormat="false" ht="15" hidden="false" customHeight="false" outlineLevel="0" collapsed="false">
      <c r="A17" s="11" t="s">
        <v>62</v>
      </c>
      <c r="B17" s="11" t="n">
        <f aca="false">COUNTIF(Planning!$B$5:$B$40,A17)</f>
        <v>5</v>
      </c>
      <c r="C17" s="11" t="n">
        <f aca="false">COUNTIFS(Planning!$B$5:$B$40,A17,Planning!$K$5:$K$40,"Klaar")</f>
        <v>0</v>
      </c>
      <c r="D17" s="11" t="n">
        <f aca="false">SUMIF(Planning!$B$5:$B$40,A17,Planning!$G$5:$G$40)</f>
        <v>3.25</v>
      </c>
      <c r="E17" s="11" t="n">
        <f aca="false">SUMIFS(Planning!$G$5:$G$40,Planning!$B$5:$B$40,A17,Planning!$K$5:$K$40,"Klaar")</f>
        <v>0</v>
      </c>
    </row>
    <row r="18" customFormat="false" ht="15" hidden="false" customHeight="false" outlineLevel="0" collapsed="false">
      <c r="A18" s="11" t="s">
        <v>74</v>
      </c>
      <c r="B18" s="11" t="n">
        <f aca="false">COUNTIF(Planning!$B$5:$B$40,A18)</f>
        <v>4</v>
      </c>
      <c r="C18" s="11" t="n">
        <f aca="false">COUNTIFS(Planning!$B$5:$B$40,A18,Planning!$K$5:$K$40,"Klaar")</f>
        <v>0</v>
      </c>
      <c r="D18" s="11" t="n">
        <f aca="false">SUMIF(Planning!$B$5:$B$40,A18,Planning!$G$5:$G$40)</f>
        <v>3.75</v>
      </c>
      <c r="E18" s="11" t="n">
        <f aca="false">SUMIFS(Planning!$G$5:$G$40,Planning!$B$5:$B$40,A18,Planning!$K$5:$K$40,"Klaar")</f>
        <v>0</v>
      </c>
    </row>
    <row r="19" customFormat="false" ht="15" hidden="false" customHeight="false" outlineLevel="0" collapsed="false">
      <c r="A19" s="11" t="s">
        <v>82</v>
      </c>
      <c r="B19" s="11" t="n">
        <f aca="false">COUNTIF(Planning!$B$5:$B$40,A19)</f>
        <v>3</v>
      </c>
      <c r="C19" s="11" t="n">
        <f aca="false">COUNTIFS(Planning!$B$5:$B$40,A19,Planning!$K$5:$K$40,"Klaar")</f>
        <v>0</v>
      </c>
      <c r="D19" s="11" t="n">
        <f aca="false">SUMIF(Planning!$B$5:$B$40,A19,Planning!$G$5:$G$40)</f>
        <v>3</v>
      </c>
      <c r="E19" s="11" t="n">
        <f aca="false">SUMIFS(Planning!$G$5:$G$40,Planning!$B$5:$B$40,A19,Planning!$K$5:$K$40,"Klaar")</f>
        <v>0</v>
      </c>
    </row>
    <row r="20" customFormat="false" ht="15" hidden="false" customHeight="false" outlineLevel="0" collapsed="false">
      <c r="A20" s="11" t="s">
        <v>87</v>
      </c>
      <c r="B20" s="11" t="n">
        <f aca="false">COUNTIF(Planning!$B$5:$B$40,A20)</f>
        <v>3</v>
      </c>
      <c r="C20" s="11" t="n">
        <f aca="false">COUNTIFS(Planning!$B$5:$B$40,A20,Planning!$K$5:$K$40,"Klaar")</f>
        <v>0</v>
      </c>
      <c r="D20" s="11" t="n">
        <f aca="false">SUMIF(Planning!$B$5:$B$40,A20,Planning!$G$5:$G$40)</f>
        <v>2</v>
      </c>
      <c r="E20" s="11" t="n">
        <f aca="false">SUMIFS(Planning!$G$5:$G$40,Planning!$B$5:$B$40,A20,Planning!$K$5:$K$40,"Klaar")</f>
        <v>0</v>
      </c>
    </row>
    <row r="21" customFormat="false" ht="15" hidden="false" customHeight="false" outlineLevel="0" collapsed="false">
      <c r="A21" s="11" t="s">
        <v>94</v>
      </c>
      <c r="B21" s="11" t="n">
        <f aca="false">COUNTIF(Planning!$B$5:$B$40,A21)</f>
        <v>3</v>
      </c>
      <c r="C21" s="11" t="n">
        <f aca="false">COUNTIFS(Planning!$B$5:$B$40,A21,Planning!$K$5:$K$40,"Klaar")</f>
        <v>0</v>
      </c>
      <c r="D21" s="11" t="n">
        <f aca="false">SUMIF(Planning!$B$5:$B$40,A21,Planning!$G$5:$G$40)</f>
        <v>2</v>
      </c>
      <c r="E21" s="11" t="n">
        <f aca="false">SUMIFS(Planning!$G$5:$G$40,Planning!$B$5:$B$40,A21,Planning!$K$5:$K$40,"Klaar")</f>
        <v>0</v>
      </c>
    </row>
    <row r="22" customFormat="false" ht="15" hidden="false" customHeight="false" outlineLevel="0" collapsed="false">
      <c r="A22" s="11" t="s">
        <v>100</v>
      </c>
      <c r="B22" s="11" t="n">
        <f aca="false">COUNTIF(Planning!$B$5:$B$40,A22)</f>
        <v>1</v>
      </c>
      <c r="C22" s="11" t="n">
        <f aca="false">COUNTIFS(Planning!$B$5:$B$40,A22,Planning!$K$5:$K$40,"Klaar")</f>
        <v>0</v>
      </c>
      <c r="D22" s="11" t="n">
        <f aca="false">SUMIF(Planning!$B$5:$B$40,A22,Planning!$G$5:$G$40)</f>
        <v>3</v>
      </c>
      <c r="E22" s="11" t="n">
        <f aca="false">SUMIFS(Planning!$G$5:$G$40,Planning!$B$5:$B$40,A22,Planning!$K$5:$K$40,"Klaar")</f>
        <v>0</v>
      </c>
    </row>
    <row r="23" customFormat="false" ht="15" hidden="false" customHeight="false" outlineLevel="0" collapsed="false">
      <c r="A23" s="11" t="s">
        <v>104</v>
      </c>
      <c r="B23" s="11" t="n">
        <f aca="false">COUNTIF(Planning!$B$5:$B$40,A23)</f>
        <v>1</v>
      </c>
      <c r="C23" s="11" t="n">
        <f aca="false">COUNTIFS(Planning!$B$5:$B$40,A23,Planning!$K$5:$K$40,"Klaar")</f>
        <v>0</v>
      </c>
      <c r="D23" s="11" t="n">
        <f aca="false">SUMIF(Planning!$B$5:$B$40,A23,Planning!$G$5:$G$40)</f>
        <v>0.5</v>
      </c>
      <c r="E23" s="11" t="n">
        <f aca="false">SUMIFS(Planning!$G$5:$G$40,Planning!$B$5:$B$40,A23,Planning!$K$5:$K$40,"Klaar")</f>
        <v>0</v>
      </c>
    </row>
    <row r="24" customFormat="false" ht="15" hidden="false" customHeight="false" outlineLevel="0" collapsed="false">
      <c r="A24" s="11" t="s">
        <v>107</v>
      </c>
      <c r="B24" s="11" t="n">
        <f aca="false">COUNTIF(Planning!$B$5:$B$40,A24)</f>
        <v>1</v>
      </c>
      <c r="C24" s="11" t="n">
        <f aca="false">COUNTIFS(Planning!$B$5:$B$40,A24,Planning!$K$5:$K$40,"Klaar")</f>
        <v>0</v>
      </c>
      <c r="D24" s="11" t="n">
        <f aca="false">SUMIF(Planning!$B$5:$B$40,A24,Planning!$G$5:$G$40)</f>
        <v>2</v>
      </c>
      <c r="E24" s="11" t="n">
        <f aca="false">SUMIFS(Planning!$G$5:$G$40,Planning!$B$5:$B$40,A24,Planning!$K$5:$K$40,"Klaar")</f>
        <v>0</v>
      </c>
    </row>
    <row r="25" customFormat="false" ht="15" hidden="false" customHeight="false" outlineLevel="0" collapsed="false">
      <c r="A25" s="11" t="s">
        <v>110</v>
      </c>
      <c r="B25" s="11" t="n">
        <f aca="false">COUNTIF(Planning!$B$5:$B$40,A25)</f>
        <v>1</v>
      </c>
      <c r="C25" s="11" t="n">
        <f aca="false">COUNTIFS(Planning!$B$5:$B$40,A25,Planning!$K$5:$K$40,"Klaar")</f>
        <v>0</v>
      </c>
      <c r="D25" s="11" t="n">
        <f aca="false">SUMIF(Planning!$B$5:$B$40,A25,Planning!$G$5:$G$40)</f>
        <v>1</v>
      </c>
      <c r="E25" s="11" t="n">
        <f aca="false">SUMIFS(Planning!$G$5:$G$40,Planning!$B$5:$B$40,A25,Planning!$K$5:$K$40,"Klaar")</f>
        <v>0</v>
      </c>
    </row>
    <row r="26" customFormat="false" ht="15" hidden="false" customHeight="false" outlineLevel="0" collapsed="false">
      <c r="A26" s="11" t="s">
        <v>71</v>
      </c>
      <c r="B26" s="11" t="n">
        <f aca="false">COUNTIF(Planning!$B$5:$B$40,A26)</f>
        <v>1</v>
      </c>
      <c r="C26" s="11" t="n">
        <f aca="false">COUNTIFS(Planning!$B$5:$B$40,A26,Planning!$K$5:$K$40,"Klaar")</f>
        <v>0</v>
      </c>
      <c r="D26" s="11" t="n">
        <f aca="false">SUMIF(Planning!$B$5:$B$40,A26,Planning!$G$5:$G$40)</f>
        <v>0</v>
      </c>
      <c r="E26" s="11" t="n">
        <f aca="false">SUMIFS(Planning!$G$5:$G$40,Planning!$B$5:$B$40,A26,Planning!$K$5:$K$40,"Klaar")</f>
        <v>0</v>
      </c>
    </row>
    <row r="27" customFormat="false" ht="15" hidden="false" customHeight="false" outlineLevel="0" collapsed="false">
      <c r="A27" s="12" t="s">
        <v>122</v>
      </c>
      <c r="B27" s="12" t="n">
        <f aca="false">SUM(B14:B26)</f>
        <v>36</v>
      </c>
      <c r="C27" s="12" t="n">
        <f aca="false">SUM(C14:C26)</f>
        <v>0</v>
      </c>
      <c r="D27" s="12" t="n">
        <f aca="false">SUM(D14:D26)</f>
        <v>35.25</v>
      </c>
      <c r="E27" s="12" t="n">
        <f aca="false">SUM(E14:E26)</f>
        <v>0</v>
      </c>
    </row>
    <row r="29" customFormat="false" ht="15" hidden="false" customHeight="false" outlineLevel="0" collapsed="false">
      <c r="A29" s="3" t="s">
        <v>7</v>
      </c>
      <c r="B29" s="3" t="s">
        <v>124</v>
      </c>
      <c r="C29" s="3" t="s">
        <v>115</v>
      </c>
      <c r="D29" s="3" t="s">
        <v>125</v>
      </c>
    </row>
    <row r="30" customFormat="false" ht="15" hidden="false" customHeight="false" outlineLevel="0" collapsed="false">
      <c r="A30" s="11" t="s">
        <v>32</v>
      </c>
      <c r="B30" s="11" t="n">
        <f aca="false">COUNTIF(Planning!$F$5:$F$40,A30)</f>
        <v>9</v>
      </c>
      <c r="C30" s="11" t="n">
        <f aca="false">COUNTIFS(Planning!$F$5:$F$40,A30,Planning!$K$5:$K$40,"Klaar")</f>
        <v>0</v>
      </c>
      <c r="D30" s="11" t="n">
        <f aca="false">SUMIF(Planning!$F$5:$F$40,A30,Planning!$G$5:$G$40)</f>
        <v>9.75</v>
      </c>
    </row>
    <row r="31" customFormat="false" ht="15" hidden="false" customHeight="false" outlineLevel="0" collapsed="false">
      <c r="A31" s="11" t="s">
        <v>36</v>
      </c>
      <c r="B31" s="11" t="n">
        <f aca="false">COUNTIF(Planning!$F$5:$F$40,A31)</f>
        <v>13</v>
      </c>
      <c r="C31" s="11" t="n">
        <f aca="false">COUNTIFS(Planning!$F$5:$F$40,A31,Planning!$K$5:$K$40,"Klaar")</f>
        <v>0</v>
      </c>
      <c r="D31" s="11" t="n">
        <f aca="false">SUMIF(Planning!$F$5:$F$40,A31,Planning!$G$5:$G$40)</f>
        <v>7</v>
      </c>
    </row>
    <row r="32" customFormat="false" ht="15" hidden="false" customHeight="false" outlineLevel="0" collapsed="false">
      <c r="A32" s="11" t="s">
        <v>20</v>
      </c>
      <c r="B32" s="11" t="n">
        <f aca="false">COUNTIF(Planning!$F$5:$F$40,A32)</f>
        <v>14</v>
      </c>
      <c r="C32" s="11" t="n">
        <f aca="false">COUNTIFS(Planning!$F$5:$F$40,A32,Planning!$K$5:$K$40,"Klaar")</f>
        <v>0</v>
      </c>
      <c r="D32" s="11" t="n">
        <f aca="false">SUMIF(Planning!$F$5:$F$40,A32,Planning!$G$5:$G$40)</f>
        <v>18.5</v>
      </c>
    </row>
    <row r="34" customFormat="false" ht="23.85" hidden="false" customHeight="false" outlineLevel="0" collapsed="false">
      <c r="A34" s="3" t="s">
        <v>127</v>
      </c>
      <c r="B34" s="3" t="s">
        <v>124</v>
      </c>
      <c r="C34" s="3" t="s">
        <v>125</v>
      </c>
    </row>
    <row r="35" customFormat="false" ht="15" hidden="false" customHeight="false" outlineLevel="0" collapsed="false">
      <c r="A35" s="11" t="s">
        <v>35</v>
      </c>
      <c r="B35" s="11" t="n">
        <f aca="false">COUNTIF(Planning!$D$5:$D$40,"*"&amp;A35&amp;"*")</f>
        <v>15</v>
      </c>
      <c r="C35" s="11" t="n">
        <f aca="false">SUMIF(Planning!$D$5:$D$40,"*"&amp;A35&amp;"*",Planning!$G$5:$G$40)</f>
        <v>15</v>
      </c>
    </row>
    <row r="36" customFormat="false" ht="15" hidden="false" customHeight="false" outlineLevel="0" collapsed="false">
      <c r="A36" s="11" t="s">
        <v>59</v>
      </c>
      <c r="B36" s="11" t="n">
        <f aca="false">COUNTIF(Planning!$D$5:$D$40,"*"&amp;A36&amp;"*")</f>
        <v>9</v>
      </c>
      <c r="C36" s="11" t="n">
        <f aca="false">SUMIF(Planning!$D$5:$D$40,"*"&amp;A36&amp;"*",Planning!$G$5:$G$40)</f>
        <v>12</v>
      </c>
    </row>
    <row r="37" customFormat="false" ht="15" hidden="false" customHeight="false" outlineLevel="0" collapsed="false">
      <c r="A37" s="11" t="s">
        <v>80</v>
      </c>
      <c r="B37" s="11" t="n">
        <f aca="false">COUNTIF(Planning!$D$5:$D$40,"*"&amp;A37&amp;"*")</f>
        <v>4</v>
      </c>
      <c r="C37" s="11" t="n">
        <f aca="false">SUMIF(Planning!$D$5:$D$40,"*"&amp;A37&amp;"*",Planning!$G$5:$G$40)</f>
        <v>4</v>
      </c>
    </row>
    <row r="38" customFormat="false" ht="15" hidden="false" customHeight="false" outlineLevel="0" collapsed="false">
      <c r="A38" s="11" t="s">
        <v>128</v>
      </c>
      <c r="B38" s="11" t="n">
        <f aca="false">COUNTIF(Planning!$D$5:$D$40,"*"&amp;A38&amp;"*")</f>
        <v>2</v>
      </c>
      <c r="C38" s="11" t="n">
        <f aca="false">SUMIF(Planning!$D$5:$D$40,"*"&amp;A38&amp;"*",Planning!$G$5:$G$40)</f>
        <v>0.75</v>
      </c>
    </row>
    <row r="39" customFormat="false" ht="15" hidden="false" customHeight="false" outlineLevel="0" collapsed="false">
      <c r="A39" s="11" t="s">
        <v>96</v>
      </c>
      <c r="B39" s="11" t="n">
        <f aca="false">COUNTIF(Planning!$D$5:$D$40,"*"&amp;A39&amp;"*")</f>
        <v>3</v>
      </c>
      <c r="C39" s="11" t="n">
        <f aca="false">SUMIF(Planning!$D$5:$D$40,"*"&amp;A39&amp;"*",Planning!$G$5:$G$40)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7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7" min="6" style="0" width="10"/>
    <col collapsed="false" customWidth="true" hidden="false" outlineLevel="0" max="8" min="8" style="0" width="6"/>
    <col collapsed="false" customWidth="true" hidden="false" outlineLevel="0" max="10" min="9" style="0" width="20"/>
    <col collapsed="false" customWidth="true" hidden="false" outlineLevel="0" max="11" min="11" style="0" width="28"/>
    <col collapsed="false" customWidth="true" hidden="false" outlineLevel="0" max="12" min="12" style="0" width="60"/>
  </cols>
  <sheetData>
    <row r="1" customFormat="false" ht="17.35" hidden="false" customHeight="false" outlineLevel="0" collapsed="false">
      <c r="A1" s="1" t="s">
        <v>129</v>
      </c>
    </row>
    <row r="2" customFormat="false" ht="27.75" hidden="false" customHeight="true" outlineLevel="0" collapsed="false">
      <c r="A2" s="2" t="s">
        <v>130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3.85" hidden="false" customHeight="false" outlineLevel="0" collapsed="false">
      <c r="A4" s="3" t="s">
        <v>131</v>
      </c>
      <c r="B4" s="3" t="s">
        <v>132</v>
      </c>
      <c r="C4" s="3" t="s">
        <v>133</v>
      </c>
      <c r="D4" s="3" t="s">
        <v>134</v>
      </c>
      <c r="E4" s="3" t="s">
        <v>135</v>
      </c>
      <c r="F4" s="3" t="s">
        <v>136</v>
      </c>
      <c r="G4" s="3" t="s">
        <v>137</v>
      </c>
      <c r="H4" s="3" t="s">
        <v>138</v>
      </c>
      <c r="I4" s="3" t="s">
        <v>139</v>
      </c>
      <c r="J4" s="3" t="s">
        <v>140</v>
      </c>
      <c r="K4" s="3" t="s">
        <v>90</v>
      </c>
      <c r="L4" s="3" t="s">
        <v>141</v>
      </c>
    </row>
    <row r="5" customFormat="false" ht="23.85" hidden="false" customHeight="false" outlineLevel="0" collapsed="false">
      <c r="A5" s="4" t="s">
        <v>142</v>
      </c>
      <c r="B5" s="6" t="n">
        <v>5</v>
      </c>
      <c r="C5" s="6" t="n">
        <v>5</v>
      </c>
      <c r="D5" s="6" t="n">
        <v>4</v>
      </c>
      <c r="E5" s="6" t="n">
        <v>4</v>
      </c>
      <c r="F5" s="6" t="n">
        <v>5</v>
      </c>
      <c r="G5" s="4" t="n">
        <f aca="false">SUM(B5:F5)</f>
        <v>23</v>
      </c>
      <c r="H5" s="4" t="n">
        <f aca="false">RANK(G5,$G$5:$G$17)</f>
        <v>1</v>
      </c>
      <c r="I5" s="4" t="s">
        <v>143</v>
      </c>
      <c r="J5" s="4" t="s">
        <v>144</v>
      </c>
      <c r="K5" s="4" t="s">
        <v>145</v>
      </c>
      <c r="L5" s="4" t="s">
        <v>146</v>
      </c>
    </row>
    <row r="6" customFormat="false" ht="23.85" hidden="false" customHeight="false" outlineLevel="0" collapsed="false">
      <c r="A6" s="4" t="s">
        <v>147</v>
      </c>
      <c r="B6" s="6" t="n">
        <v>4</v>
      </c>
      <c r="C6" s="6" t="n">
        <v>3</v>
      </c>
      <c r="D6" s="6" t="n">
        <v>3</v>
      </c>
      <c r="E6" s="6" t="n">
        <v>5</v>
      </c>
      <c r="F6" s="6" t="n">
        <v>5</v>
      </c>
      <c r="G6" s="4" t="n">
        <f aca="false">SUM(B6:F6)</f>
        <v>20</v>
      </c>
      <c r="H6" s="4" t="n">
        <f aca="false">RANK(G6,$G$5:$G$17)</f>
        <v>2</v>
      </c>
      <c r="I6" s="4" t="s">
        <v>148</v>
      </c>
      <c r="J6" s="4" t="s">
        <v>149</v>
      </c>
      <c r="K6" s="4" t="s">
        <v>150</v>
      </c>
      <c r="L6" s="4" t="s">
        <v>151</v>
      </c>
    </row>
    <row r="7" customFormat="false" ht="15" hidden="false" customHeight="false" outlineLevel="0" collapsed="false">
      <c r="A7" s="4" t="s">
        <v>152</v>
      </c>
      <c r="B7" s="6" t="n">
        <v>4</v>
      </c>
      <c r="C7" s="6" t="n">
        <v>5</v>
      </c>
      <c r="D7" s="6" t="n">
        <v>3</v>
      </c>
      <c r="E7" s="6" t="n">
        <v>2</v>
      </c>
      <c r="F7" s="6" t="n">
        <v>5</v>
      </c>
      <c r="G7" s="4" t="n">
        <f aca="false">SUM(B7:F7)</f>
        <v>19</v>
      </c>
      <c r="H7" s="4" t="n">
        <f aca="false">RANK(G7,$G$5:$G$17)</f>
        <v>3</v>
      </c>
      <c r="I7" s="4" t="s">
        <v>153</v>
      </c>
      <c r="J7" s="4" t="s">
        <v>154</v>
      </c>
      <c r="K7" s="4" t="s">
        <v>155</v>
      </c>
      <c r="L7" s="4" t="s">
        <v>156</v>
      </c>
    </row>
    <row r="8" customFormat="false" ht="23.85" hidden="false" customHeight="false" outlineLevel="0" collapsed="false">
      <c r="A8" s="4" t="s">
        <v>157</v>
      </c>
      <c r="B8" s="6" t="n">
        <v>3</v>
      </c>
      <c r="C8" s="6" t="n">
        <v>5</v>
      </c>
      <c r="D8" s="6" t="n">
        <v>1</v>
      </c>
      <c r="E8" s="6" t="n">
        <v>3</v>
      </c>
      <c r="F8" s="6" t="n">
        <v>5</v>
      </c>
      <c r="G8" s="4" t="n">
        <f aca="false">SUM(B8:F8)</f>
        <v>17</v>
      </c>
      <c r="H8" s="4" t="n">
        <f aca="false">RANK(G8,$G$5:$G$17)</f>
        <v>4</v>
      </c>
      <c r="I8" s="4" t="s">
        <v>158</v>
      </c>
      <c r="J8" s="4" t="s">
        <v>159</v>
      </c>
      <c r="K8" s="4" t="s">
        <v>160</v>
      </c>
      <c r="L8" s="4" t="s">
        <v>161</v>
      </c>
    </row>
    <row r="9" customFormat="false" ht="23.85" hidden="false" customHeight="false" outlineLevel="0" collapsed="false">
      <c r="A9" s="4" t="s">
        <v>162</v>
      </c>
      <c r="B9" s="6" t="n">
        <v>4</v>
      </c>
      <c r="C9" s="6" t="n">
        <v>2</v>
      </c>
      <c r="D9" s="6" t="n">
        <v>3</v>
      </c>
      <c r="E9" s="6" t="n">
        <v>2</v>
      </c>
      <c r="F9" s="6" t="n">
        <v>5</v>
      </c>
      <c r="G9" s="4" t="n">
        <f aca="false">SUM(B9:F9)</f>
        <v>16</v>
      </c>
      <c r="H9" s="4" t="n">
        <f aca="false">RANK(G9,$G$5:$G$17)</f>
        <v>5</v>
      </c>
      <c r="I9" s="4" t="s">
        <v>163</v>
      </c>
      <c r="J9" s="4" t="s">
        <v>164</v>
      </c>
      <c r="K9" s="4" t="s">
        <v>165</v>
      </c>
      <c r="L9" s="4" t="s">
        <v>166</v>
      </c>
    </row>
    <row r="10" customFormat="false" ht="15" hidden="false" customHeight="false" outlineLevel="0" collapsed="false">
      <c r="A10" s="4" t="s">
        <v>167</v>
      </c>
      <c r="B10" s="6" t="n">
        <v>3</v>
      </c>
      <c r="C10" s="6" t="n">
        <v>2</v>
      </c>
      <c r="D10" s="6" t="n">
        <v>3</v>
      </c>
      <c r="E10" s="6" t="n">
        <v>2</v>
      </c>
      <c r="F10" s="6" t="n">
        <v>5</v>
      </c>
      <c r="G10" s="4" t="n">
        <f aca="false">SUM(B10:F10)</f>
        <v>15</v>
      </c>
      <c r="H10" s="4" t="n">
        <f aca="false">RANK(G10,$G$5:$G$17)</f>
        <v>6</v>
      </c>
      <c r="I10" s="4" t="s">
        <v>168</v>
      </c>
      <c r="J10" s="4" t="s">
        <v>169</v>
      </c>
      <c r="K10" s="4" t="s">
        <v>170</v>
      </c>
      <c r="L10" s="4" t="s">
        <v>171</v>
      </c>
    </row>
    <row r="11" customFormat="false" ht="15" hidden="false" customHeight="false" outlineLevel="0" collapsed="false">
      <c r="A11" s="4" t="s">
        <v>172</v>
      </c>
      <c r="B11" s="6" t="n">
        <v>3</v>
      </c>
      <c r="C11" s="6" t="n">
        <v>2</v>
      </c>
      <c r="D11" s="6" t="n">
        <v>3</v>
      </c>
      <c r="E11" s="6" t="n">
        <v>2</v>
      </c>
      <c r="F11" s="6" t="n">
        <v>5</v>
      </c>
      <c r="G11" s="4" t="n">
        <f aca="false">SUM(B11:F11)</f>
        <v>15</v>
      </c>
      <c r="H11" s="4" t="n">
        <f aca="false">RANK(G11,$G$5:$G$17)</f>
        <v>6</v>
      </c>
      <c r="I11" s="4" t="s">
        <v>173</v>
      </c>
      <c r="J11" s="4" t="s">
        <v>174</v>
      </c>
      <c r="K11" s="4" t="s">
        <v>175</v>
      </c>
      <c r="L11" s="4" t="s">
        <v>176</v>
      </c>
    </row>
    <row r="12" customFormat="false" ht="15" hidden="false" customHeight="false" outlineLevel="0" collapsed="false">
      <c r="A12" s="4" t="s">
        <v>177</v>
      </c>
      <c r="B12" s="6" t="n">
        <v>3</v>
      </c>
      <c r="C12" s="6" t="n">
        <v>1</v>
      </c>
      <c r="D12" s="6" t="n">
        <v>3</v>
      </c>
      <c r="E12" s="6" t="n">
        <v>2</v>
      </c>
      <c r="F12" s="6" t="n">
        <v>5</v>
      </c>
      <c r="G12" s="4" t="n">
        <f aca="false">SUM(B12:F12)</f>
        <v>14</v>
      </c>
      <c r="H12" s="4" t="n">
        <f aca="false">RANK(G12,$G$5:$G$17)</f>
        <v>8</v>
      </c>
      <c r="I12" s="4" t="s">
        <v>178</v>
      </c>
      <c r="J12" s="4" t="s">
        <v>169</v>
      </c>
      <c r="K12" s="4" t="s">
        <v>170</v>
      </c>
      <c r="L12" s="4" t="s">
        <v>179</v>
      </c>
    </row>
    <row r="13" customFormat="false" ht="15" hidden="false" customHeight="false" outlineLevel="0" collapsed="false">
      <c r="A13" s="4" t="s">
        <v>180</v>
      </c>
      <c r="B13" s="6" t="n">
        <v>2</v>
      </c>
      <c r="C13" s="6" t="n">
        <v>1</v>
      </c>
      <c r="D13" s="6" t="n">
        <v>5</v>
      </c>
      <c r="E13" s="6" t="n">
        <v>2</v>
      </c>
      <c r="F13" s="6" t="n">
        <v>4</v>
      </c>
      <c r="G13" s="4" t="n">
        <f aca="false">SUM(B13:F13)</f>
        <v>14</v>
      </c>
      <c r="H13" s="4" t="n">
        <f aca="false">RANK(G13,$G$5:$G$17)</f>
        <v>8</v>
      </c>
      <c r="I13" s="4" t="s">
        <v>181</v>
      </c>
      <c r="J13" s="4" t="s">
        <v>182</v>
      </c>
      <c r="K13" s="4" t="s">
        <v>183</v>
      </c>
      <c r="L13" s="4" t="s">
        <v>184</v>
      </c>
    </row>
    <row r="14" customFormat="false" ht="23.85" hidden="false" customHeight="false" outlineLevel="0" collapsed="false">
      <c r="A14" s="4" t="s">
        <v>185</v>
      </c>
      <c r="B14" s="6" t="n">
        <v>3</v>
      </c>
      <c r="C14" s="6" t="n">
        <v>1</v>
      </c>
      <c r="D14" s="6" t="n">
        <v>3</v>
      </c>
      <c r="E14" s="6" t="n">
        <v>1</v>
      </c>
      <c r="F14" s="6" t="n">
        <v>5</v>
      </c>
      <c r="G14" s="4" t="n">
        <f aca="false">SUM(B14:F14)</f>
        <v>13</v>
      </c>
      <c r="H14" s="4" t="n">
        <f aca="false">RANK(G14,$G$5:$G$17)</f>
        <v>10</v>
      </c>
      <c r="I14" s="4" t="s">
        <v>186</v>
      </c>
      <c r="J14" s="4" t="s">
        <v>187</v>
      </c>
      <c r="K14" s="4" t="s">
        <v>188</v>
      </c>
      <c r="L14" s="4" t="s">
        <v>189</v>
      </c>
    </row>
    <row r="15" customFormat="false" ht="15" hidden="false" customHeight="false" outlineLevel="0" collapsed="false">
      <c r="A15" s="4" t="s">
        <v>190</v>
      </c>
      <c r="B15" s="6" t="n">
        <v>3</v>
      </c>
      <c r="C15" s="6" t="n">
        <v>2</v>
      </c>
      <c r="D15" s="6" t="n">
        <v>4</v>
      </c>
      <c r="E15" s="6" t="n">
        <v>2</v>
      </c>
      <c r="F15" s="6" t="n">
        <v>2</v>
      </c>
      <c r="G15" s="4" t="n">
        <f aca="false">SUM(B15:F15)</f>
        <v>13</v>
      </c>
      <c r="H15" s="4" t="n">
        <f aca="false">RANK(G15,$G$5:$G$17)</f>
        <v>10</v>
      </c>
      <c r="I15" s="4" t="s">
        <v>191</v>
      </c>
      <c r="J15" s="4" t="s">
        <v>192</v>
      </c>
      <c r="K15" s="4" t="s">
        <v>193</v>
      </c>
      <c r="L15" s="4" t="s">
        <v>194</v>
      </c>
    </row>
    <row r="16" customFormat="false" ht="15" hidden="false" customHeight="false" outlineLevel="0" collapsed="false">
      <c r="A16" s="4" t="s">
        <v>195</v>
      </c>
      <c r="B16" s="6" t="n">
        <v>2</v>
      </c>
      <c r="C16" s="6" t="n">
        <v>2</v>
      </c>
      <c r="D16" s="6" t="n">
        <v>2</v>
      </c>
      <c r="E16" s="6" t="n">
        <v>3</v>
      </c>
      <c r="F16" s="6" t="n">
        <v>4</v>
      </c>
      <c r="G16" s="4" t="n">
        <f aca="false">SUM(B16:F16)</f>
        <v>13</v>
      </c>
      <c r="H16" s="4" t="n">
        <f aca="false">RANK(G16,$G$5:$G$17)</f>
        <v>10</v>
      </c>
      <c r="I16" s="4" t="s">
        <v>196</v>
      </c>
      <c r="J16" s="4" t="s">
        <v>197</v>
      </c>
      <c r="K16" s="4" t="s">
        <v>198</v>
      </c>
      <c r="L16" s="4" t="s">
        <v>199</v>
      </c>
    </row>
    <row r="17" customFormat="false" ht="23.85" hidden="false" customHeight="false" outlineLevel="0" collapsed="false">
      <c r="A17" s="4" t="s">
        <v>200</v>
      </c>
      <c r="B17" s="6" t="n">
        <v>4</v>
      </c>
      <c r="C17" s="6" t="n">
        <v>1</v>
      </c>
      <c r="D17" s="6" t="n">
        <v>4</v>
      </c>
      <c r="E17" s="6" t="n">
        <v>1</v>
      </c>
      <c r="F17" s="6" t="n">
        <v>1</v>
      </c>
      <c r="G17" s="4" t="n">
        <f aca="false">SUM(B17:F17)</f>
        <v>11</v>
      </c>
      <c r="H17" s="4" t="n">
        <f aca="false">RANK(G17,$G$5:$G$17)</f>
        <v>13</v>
      </c>
      <c r="I17" s="4" t="s">
        <v>201</v>
      </c>
      <c r="J17" s="4" t="s">
        <v>202</v>
      </c>
      <c r="K17" s="4" t="s">
        <v>203</v>
      </c>
      <c r="L17" s="4" t="s">
        <v>204</v>
      </c>
    </row>
  </sheetData>
  <mergeCells count="1"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0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9"/>
    <col collapsed="false" customWidth="true" hidden="false" outlineLevel="0" max="12" min="12" style="0" width="8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7" min="16" style="0" width="12"/>
    <col collapsed="false" customWidth="true" hidden="false" outlineLevel="0" max="18" min="18" style="0" width="36"/>
  </cols>
  <sheetData>
    <row r="1" customFormat="false" ht="17.35" hidden="false" customHeight="false" outlineLevel="0" collapsed="false">
      <c r="A1" s="1" t="s">
        <v>205</v>
      </c>
    </row>
    <row r="2" customFormat="false" ht="27.75" hidden="false" customHeight="true" outlineLevel="0" collapsed="false">
      <c r="A2" s="2" t="s">
        <v>206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43.5" hidden="false" customHeight="true" outlineLevel="0" collapsed="false">
      <c r="A4" s="3" t="s">
        <v>207</v>
      </c>
      <c r="B4" s="3" t="s">
        <v>208</v>
      </c>
      <c r="C4" s="3" t="s">
        <v>209</v>
      </c>
      <c r="D4" s="3" t="s">
        <v>210</v>
      </c>
      <c r="E4" s="3" t="s">
        <v>211</v>
      </c>
      <c r="F4" s="3" t="s">
        <v>212</v>
      </c>
      <c r="G4" s="3" t="s">
        <v>213</v>
      </c>
      <c r="H4" s="3" t="s">
        <v>214</v>
      </c>
      <c r="I4" s="3" t="s">
        <v>215</v>
      </c>
      <c r="J4" s="3" t="s">
        <v>216</v>
      </c>
      <c r="K4" s="3" t="s">
        <v>217</v>
      </c>
      <c r="L4" s="3" t="s">
        <v>218</v>
      </c>
      <c r="M4" s="3" t="s">
        <v>219</v>
      </c>
      <c r="N4" s="3" t="s">
        <v>220</v>
      </c>
      <c r="O4" s="3" t="s">
        <v>221</v>
      </c>
      <c r="P4" s="3" t="s">
        <v>222</v>
      </c>
      <c r="Q4" s="3" t="s">
        <v>223</v>
      </c>
      <c r="R4" s="3" t="s">
        <v>14</v>
      </c>
    </row>
    <row r="5" customFormat="false" ht="23.85" hidden="false" customHeight="false" outlineLevel="0" collapsed="false">
      <c r="A5" s="10" t="n">
        <v>46288</v>
      </c>
      <c r="B5" s="9" t="n">
        <v>3</v>
      </c>
      <c r="C5" s="9" t="n">
        <v>1</v>
      </c>
      <c r="D5" s="9" t="n">
        <v>0</v>
      </c>
      <c r="E5" s="9" t="n">
        <v>0</v>
      </c>
      <c r="F5" s="13" t="n">
        <f aca="false">IF(COUNT(B5:E5)=0,"",SUM(B5:E5))</f>
        <v>4</v>
      </c>
      <c r="G5" s="9"/>
      <c r="H5" s="9"/>
      <c r="I5" s="9"/>
      <c r="J5" s="9"/>
      <c r="K5" s="9"/>
      <c r="L5" s="9"/>
      <c r="M5" s="14" t="str">
        <f aca="false">IF(OR(J5="",J5=0),"",L5/J5)</f>
        <v/>
      </c>
      <c r="N5" s="9" t="n">
        <v>9</v>
      </c>
      <c r="O5" s="9" t="n">
        <v>3</v>
      </c>
      <c r="P5" s="9" t="n">
        <v>21</v>
      </c>
      <c r="Q5" s="9"/>
      <c r="R5" s="9" t="s">
        <v>224</v>
      </c>
    </row>
    <row r="6" customFormat="false" ht="15" hidden="false" customHeight="false" outlineLevel="0" collapsed="false">
      <c r="A6" s="15" t="n">
        <v>46300</v>
      </c>
      <c r="B6" s="16"/>
      <c r="C6" s="16"/>
      <c r="D6" s="16"/>
      <c r="E6" s="16"/>
      <c r="F6" s="11" t="str">
        <f aca="false">IF(COUNT(B6:E6)=0,"",SUM(B6:E6))</f>
        <v/>
      </c>
      <c r="G6" s="16"/>
      <c r="H6" s="16"/>
      <c r="I6" s="16"/>
      <c r="J6" s="16"/>
      <c r="K6" s="16"/>
      <c r="L6" s="16"/>
      <c r="M6" s="17" t="str">
        <f aca="false">IF(OR(J6="",J6=0),"",L6/J6)</f>
        <v/>
      </c>
      <c r="N6" s="16"/>
      <c r="O6" s="16"/>
      <c r="P6" s="16"/>
      <c r="Q6" s="16"/>
      <c r="R6" s="16"/>
    </row>
    <row r="7" customFormat="false" ht="15" hidden="false" customHeight="false" outlineLevel="0" collapsed="false">
      <c r="A7" s="15" t="n">
        <v>46307</v>
      </c>
      <c r="B7" s="16"/>
      <c r="C7" s="16"/>
      <c r="D7" s="16"/>
      <c r="E7" s="16"/>
      <c r="F7" s="11" t="str">
        <f aca="false">IF(COUNT(B7:E7)=0,"",SUM(B7:E7))</f>
        <v/>
      </c>
      <c r="G7" s="16"/>
      <c r="H7" s="16"/>
      <c r="I7" s="16"/>
      <c r="J7" s="16"/>
      <c r="K7" s="16"/>
      <c r="L7" s="16"/>
      <c r="M7" s="17" t="str">
        <f aca="false">IF(OR(J7="",J7=0),"",L7/J7)</f>
        <v/>
      </c>
      <c r="N7" s="16"/>
      <c r="O7" s="16"/>
      <c r="P7" s="16"/>
      <c r="Q7" s="16"/>
      <c r="R7" s="16"/>
    </row>
    <row r="8" customFormat="false" ht="15" hidden="false" customHeight="false" outlineLevel="0" collapsed="false">
      <c r="A8" s="15" t="n">
        <v>46314</v>
      </c>
      <c r="B8" s="16"/>
      <c r="C8" s="16"/>
      <c r="D8" s="16"/>
      <c r="E8" s="16"/>
      <c r="F8" s="11" t="str">
        <f aca="false">IF(COUNT(B8:E8)=0,"",SUM(B8:E8))</f>
        <v/>
      </c>
      <c r="G8" s="16"/>
      <c r="H8" s="16"/>
      <c r="I8" s="16"/>
      <c r="J8" s="16"/>
      <c r="K8" s="16"/>
      <c r="L8" s="16"/>
      <c r="M8" s="17" t="str">
        <f aca="false">IF(OR(J8="",J8=0),"",L8/J8)</f>
        <v/>
      </c>
      <c r="N8" s="16"/>
      <c r="O8" s="16"/>
      <c r="P8" s="16"/>
      <c r="Q8" s="16"/>
      <c r="R8" s="16"/>
    </row>
    <row r="9" customFormat="false" ht="15" hidden="false" customHeight="false" outlineLevel="0" collapsed="false">
      <c r="A9" s="15" t="n">
        <v>46321</v>
      </c>
      <c r="B9" s="16"/>
      <c r="C9" s="16"/>
      <c r="D9" s="16"/>
      <c r="E9" s="16"/>
      <c r="F9" s="11" t="str">
        <f aca="false">IF(COUNT(B9:E9)=0,"",SUM(B9:E9))</f>
        <v/>
      </c>
      <c r="G9" s="16"/>
      <c r="H9" s="16"/>
      <c r="I9" s="16"/>
      <c r="J9" s="16"/>
      <c r="K9" s="16"/>
      <c r="L9" s="16"/>
      <c r="M9" s="17" t="str">
        <f aca="false">IF(OR(J9="",J9=0),"",L9/J9)</f>
        <v/>
      </c>
      <c r="N9" s="16"/>
      <c r="O9" s="16"/>
      <c r="P9" s="16"/>
      <c r="Q9" s="16"/>
      <c r="R9" s="16"/>
    </row>
    <row r="10" customFormat="false" ht="15" hidden="false" customHeight="false" outlineLevel="0" collapsed="false">
      <c r="A10" s="15" t="n">
        <v>46328</v>
      </c>
      <c r="B10" s="16"/>
      <c r="C10" s="16"/>
      <c r="D10" s="16"/>
      <c r="E10" s="16"/>
      <c r="F10" s="11" t="str">
        <f aca="false">IF(COUNT(B10:E10)=0,"",SUM(B10:E10))</f>
        <v/>
      </c>
      <c r="G10" s="16"/>
      <c r="H10" s="16"/>
      <c r="I10" s="16"/>
      <c r="J10" s="16"/>
      <c r="K10" s="16"/>
      <c r="L10" s="16"/>
      <c r="M10" s="17" t="str">
        <f aca="false">IF(OR(J10="",J10=0),"",L10/J10)</f>
        <v/>
      </c>
      <c r="N10" s="16"/>
      <c r="O10" s="16"/>
      <c r="P10" s="16"/>
      <c r="Q10" s="16"/>
      <c r="R10" s="16"/>
    </row>
    <row r="11" customFormat="false" ht="15" hidden="false" customHeight="false" outlineLevel="0" collapsed="false">
      <c r="A11" s="15" t="n">
        <v>46335</v>
      </c>
      <c r="B11" s="16"/>
      <c r="C11" s="16"/>
      <c r="D11" s="16"/>
      <c r="E11" s="16"/>
      <c r="F11" s="11" t="str">
        <f aca="false">IF(COUNT(B11:E11)=0,"",SUM(B11:E11))</f>
        <v/>
      </c>
      <c r="G11" s="16"/>
      <c r="H11" s="16"/>
      <c r="I11" s="16"/>
      <c r="J11" s="16"/>
      <c r="K11" s="16"/>
      <c r="L11" s="16"/>
      <c r="M11" s="17" t="str">
        <f aca="false">IF(OR(J11="",J11=0),"",L11/J11)</f>
        <v/>
      </c>
      <c r="N11" s="16"/>
      <c r="O11" s="16"/>
      <c r="P11" s="16"/>
      <c r="Q11" s="16"/>
      <c r="R11" s="16"/>
    </row>
    <row r="12" customFormat="false" ht="15" hidden="false" customHeight="false" outlineLevel="0" collapsed="false">
      <c r="A12" s="15" t="n">
        <v>46342</v>
      </c>
      <c r="B12" s="16"/>
      <c r="C12" s="16"/>
      <c r="D12" s="16"/>
      <c r="E12" s="16"/>
      <c r="F12" s="11" t="str">
        <f aca="false">IF(COUNT(B12:E12)=0,"",SUM(B12:E12))</f>
        <v/>
      </c>
      <c r="G12" s="16"/>
      <c r="H12" s="16"/>
      <c r="I12" s="16"/>
      <c r="J12" s="16"/>
      <c r="K12" s="16"/>
      <c r="L12" s="16"/>
      <c r="M12" s="17" t="str">
        <f aca="false">IF(OR(J12="",J12=0),"",L12/J12)</f>
        <v/>
      </c>
      <c r="N12" s="16"/>
      <c r="O12" s="16"/>
      <c r="P12" s="16"/>
      <c r="Q12" s="16"/>
      <c r="R12" s="16"/>
    </row>
    <row r="13" customFormat="false" ht="15" hidden="false" customHeight="false" outlineLevel="0" collapsed="false">
      <c r="A13" s="15" t="n">
        <v>46349</v>
      </c>
      <c r="B13" s="16"/>
      <c r="C13" s="16"/>
      <c r="D13" s="16"/>
      <c r="E13" s="16"/>
      <c r="F13" s="11" t="str">
        <f aca="false">IF(COUNT(B13:E13)=0,"",SUM(B13:E13))</f>
        <v/>
      </c>
      <c r="G13" s="16"/>
      <c r="H13" s="16"/>
      <c r="I13" s="16"/>
      <c r="J13" s="16"/>
      <c r="K13" s="16"/>
      <c r="L13" s="16"/>
      <c r="M13" s="17" t="str">
        <f aca="false">IF(OR(J13="",J13=0),"",L13/J13)</f>
        <v/>
      </c>
      <c r="N13" s="16"/>
      <c r="O13" s="16"/>
      <c r="P13" s="16"/>
      <c r="Q13" s="16"/>
      <c r="R13" s="16"/>
    </row>
    <row r="14" customFormat="false" ht="15" hidden="false" customHeight="false" outlineLevel="0" collapsed="false">
      <c r="A14" s="15" t="n">
        <v>46356</v>
      </c>
      <c r="B14" s="16"/>
      <c r="C14" s="16"/>
      <c r="D14" s="16"/>
      <c r="E14" s="16"/>
      <c r="F14" s="11" t="str">
        <f aca="false">IF(COUNT(B14:E14)=0,"",SUM(B14:E14))</f>
        <v/>
      </c>
      <c r="G14" s="16"/>
      <c r="H14" s="16"/>
      <c r="I14" s="16"/>
      <c r="J14" s="16"/>
      <c r="K14" s="16"/>
      <c r="L14" s="16"/>
      <c r="M14" s="17" t="str">
        <f aca="false">IF(OR(J14="",J14=0),"",L14/J14)</f>
        <v/>
      </c>
      <c r="N14" s="16"/>
      <c r="O14" s="16"/>
      <c r="P14" s="16"/>
      <c r="Q14" s="16"/>
      <c r="R14" s="16"/>
    </row>
    <row r="15" customFormat="false" ht="15" hidden="false" customHeight="false" outlineLevel="0" collapsed="false">
      <c r="A15" s="15" t="n">
        <v>46363</v>
      </c>
      <c r="B15" s="16"/>
      <c r="C15" s="16"/>
      <c r="D15" s="16"/>
      <c r="E15" s="16"/>
      <c r="F15" s="11" t="str">
        <f aca="false">IF(COUNT(B15:E15)=0,"",SUM(B15:E15))</f>
        <v/>
      </c>
      <c r="G15" s="16"/>
      <c r="H15" s="16"/>
      <c r="I15" s="16"/>
      <c r="J15" s="16"/>
      <c r="K15" s="16"/>
      <c r="L15" s="16"/>
      <c r="M15" s="17" t="str">
        <f aca="false">IF(OR(J15="",J15=0),"",L15/J15)</f>
        <v/>
      </c>
      <c r="N15" s="16"/>
      <c r="O15" s="16"/>
      <c r="P15" s="16"/>
      <c r="Q15" s="16"/>
      <c r="R15" s="16"/>
    </row>
    <row r="16" customFormat="false" ht="15" hidden="false" customHeight="false" outlineLevel="0" collapsed="false">
      <c r="A16" s="15" t="n">
        <v>46370</v>
      </c>
      <c r="B16" s="16"/>
      <c r="C16" s="16"/>
      <c r="D16" s="16"/>
      <c r="E16" s="16"/>
      <c r="F16" s="11" t="str">
        <f aca="false">IF(COUNT(B16:E16)=0,"",SUM(B16:E16))</f>
        <v/>
      </c>
      <c r="G16" s="16"/>
      <c r="H16" s="16"/>
      <c r="I16" s="16"/>
      <c r="J16" s="16"/>
      <c r="K16" s="16"/>
      <c r="L16" s="16"/>
      <c r="M16" s="17" t="str">
        <f aca="false">IF(OR(J16="",J16=0),"",L16/J16)</f>
        <v/>
      </c>
      <c r="N16" s="16"/>
      <c r="O16" s="16"/>
      <c r="P16" s="16"/>
      <c r="Q16" s="16"/>
      <c r="R16" s="16"/>
    </row>
    <row r="17" customFormat="false" ht="15" hidden="false" customHeight="false" outlineLevel="0" collapsed="false">
      <c r="A17" s="15" t="n">
        <v>46377</v>
      </c>
      <c r="B17" s="16"/>
      <c r="C17" s="16"/>
      <c r="D17" s="16"/>
      <c r="E17" s="16"/>
      <c r="F17" s="11" t="str">
        <f aca="false">IF(COUNT(B17:E17)=0,"",SUM(B17:E17))</f>
        <v/>
      </c>
      <c r="G17" s="16"/>
      <c r="H17" s="16"/>
      <c r="I17" s="16"/>
      <c r="J17" s="16"/>
      <c r="K17" s="16"/>
      <c r="L17" s="16"/>
      <c r="M17" s="17" t="str">
        <f aca="false">IF(OR(J17="",J17=0),"",L17/J17)</f>
        <v/>
      </c>
      <c r="N17" s="16"/>
      <c r="O17" s="16"/>
      <c r="P17" s="16"/>
      <c r="Q17" s="16"/>
      <c r="R17" s="16"/>
    </row>
    <row r="18" customFormat="false" ht="15" hidden="false" customHeight="false" outlineLevel="0" collapsed="false">
      <c r="A18" s="15" t="n">
        <v>46384</v>
      </c>
      <c r="B18" s="16"/>
      <c r="C18" s="16"/>
      <c r="D18" s="16"/>
      <c r="E18" s="16"/>
      <c r="F18" s="11" t="str">
        <f aca="false">IF(COUNT(B18:E18)=0,"",SUM(B18:E18))</f>
        <v/>
      </c>
      <c r="G18" s="16"/>
      <c r="H18" s="16"/>
      <c r="I18" s="16"/>
      <c r="J18" s="16"/>
      <c r="K18" s="16"/>
      <c r="L18" s="16"/>
      <c r="M18" s="17" t="str">
        <f aca="false">IF(OR(J18="",J18=0),"",L18/J18)</f>
        <v/>
      </c>
      <c r="N18" s="16"/>
      <c r="O18" s="16"/>
      <c r="P18" s="16"/>
      <c r="Q18" s="16"/>
      <c r="R18" s="16"/>
    </row>
    <row r="19" customFormat="false" ht="15" hidden="false" customHeight="false" outlineLevel="0" collapsed="false">
      <c r="A19" s="15" t="n">
        <v>46391</v>
      </c>
      <c r="B19" s="16"/>
      <c r="C19" s="16"/>
      <c r="D19" s="16"/>
      <c r="E19" s="16"/>
      <c r="F19" s="11" t="str">
        <f aca="false">IF(COUNT(B19:E19)=0,"",SUM(B19:E19))</f>
        <v/>
      </c>
      <c r="G19" s="16"/>
      <c r="H19" s="16"/>
      <c r="I19" s="16"/>
      <c r="J19" s="16"/>
      <c r="K19" s="16"/>
      <c r="L19" s="16"/>
      <c r="M19" s="17" t="str">
        <f aca="false">IF(OR(J19="",J19=0),"",L19/J19)</f>
        <v/>
      </c>
      <c r="N19" s="16"/>
      <c r="O19" s="16"/>
      <c r="P19" s="16"/>
      <c r="Q19" s="16"/>
      <c r="R19" s="16"/>
    </row>
    <row r="20" customFormat="false" ht="15" hidden="false" customHeight="false" outlineLevel="0" collapsed="false">
      <c r="A20" s="15" t="n">
        <v>46398</v>
      </c>
      <c r="B20" s="16"/>
      <c r="C20" s="16"/>
      <c r="D20" s="16"/>
      <c r="E20" s="16"/>
      <c r="F20" s="11" t="str">
        <f aca="false">IF(COUNT(B20:E20)=0,"",SUM(B20:E20))</f>
        <v/>
      </c>
      <c r="G20" s="16"/>
      <c r="H20" s="16"/>
      <c r="I20" s="16"/>
      <c r="J20" s="16"/>
      <c r="K20" s="16"/>
      <c r="L20" s="16"/>
      <c r="M20" s="17" t="str">
        <f aca="false">IF(OR(J20="",J20=0),"",L20/J20)</f>
        <v/>
      </c>
      <c r="N20" s="16"/>
      <c r="O20" s="16"/>
      <c r="P20" s="16"/>
      <c r="Q20" s="16"/>
      <c r="R20" s="16"/>
    </row>
    <row r="21" customFormat="false" ht="15" hidden="false" customHeight="false" outlineLevel="0" collapsed="false">
      <c r="A21" s="15" t="n">
        <v>46405</v>
      </c>
      <c r="B21" s="16"/>
      <c r="C21" s="16"/>
      <c r="D21" s="16"/>
      <c r="E21" s="16"/>
      <c r="F21" s="11" t="str">
        <f aca="false">IF(COUNT(B21:E21)=0,"",SUM(B21:E21))</f>
        <v/>
      </c>
      <c r="G21" s="16"/>
      <c r="H21" s="16"/>
      <c r="I21" s="16"/>
      <c r="J21" s="16"/>
      <c r="K21" s="16"/>
      <c r="L21" s="16"/>
      <c r="M21" s="17" t="str">
        <f aca="false">IF(OR(J21="",J21=0),"",L21/J21)</f>
        <v/>
      </c>
      <c r="N21" s="16"/>
      <c r="O21" s="16"/>
      <c r="P21" s="16"/>
      <c r="Q21" s="16"/>
      <c r="R21" s="16"/>
    </row>
    <row r="22" customFormat="false" ht="15" hidden="false" customHeight="false" outlineLevel="0" collapsed="false">
      <c r="A22" s="15" t="n">
        <v>46412</v>
      </c>
      <c r="B22" s="16"/>
      <c r="C22" s="16"/>
      <c r="D22" s="16"/>
      <c r="E22" s="16"/>
      <c r="F22" s="11" t="str">
        <f aca="false">IF(COUNT(B22:E22)=0,"",SUM(B22:E22))</f>
        <v/>
      </c>
      <c r="G22" s="16"/>
      <c r="H22" s="16"/>
      <c r="I22" s="16"/>
      <c r="J22" s="16"/>
      <c r="K22" s="16"/>
      <c r="L22" s="16"/>
      <c r="M22" s="17" t="str">
        <f aca="false">IF(OR(J22="",J22=0),"",L22/J22)</f>
        <v/>
      </c>
      <c r="N22" s="16"/>
      <c r="O22" s="16"/>
      <c r="P22" s="16"/>
      <c r="Q22" s="16"/>
      <c r="R22" s="16"/>
    </row>
    <row r="23" customFormat="false" ht="15" hidden="false" customHeight="false" outlineLevel="0" collapsed="false">
      <c r="A23" s="15" t="n">
        <v>46419</v>
      </c>
      <c r="B23" s="16"/>
      <c r="C23" s="16"/>
      <c r="D23" s="16"/>
      <c r="E23" s="16"/>
      <c r="F23" s="11" t="str">
        <f aca="false">IF(COUNT(B23:E23)=0,"",SUM(B23:E23))</f>
        <v/>
      </c>
      <c r="G23" s="16"/>
      <c r="H23" s="16"/>
      <c r="I23" s="16"/>
      <c r="J23" s="16"/>
      <c r="K23" s="16"/>
      <c r="L23" s="16"/>
      <c r="M23" s="17" t="str">
        <f aca="false">IF(OR(J23="",J23=0),"",L23/J23)</f>
        <v/>
      </c>
      <c r="N23" s="16"/>
      <c r="O23" s="16"/>
      <c r="P23" s="16"/>
      <c r="Q23" s="16"/>
      <c r="R23" s="16"/>
    </row>
    <row r="24" customFormat="false" ht="15" hidden="false" customHeight="false" outlineLevel="0" collapsed="false">
      <c r="A24" s="15" t="n">
        <v>46426</v>
      </c>
      <c r="B24" s="16"/>
      <c r="C24" s="16"/>
      <c r="D24" s="16"/>
      <c r="E24" s="16"/>
      <c r="F24" s="11" t="str">
        <f aca="false">IF(COUNT(B24:E24)=0,"",SUM(B24:E24))</f>
        <v/>
      </c>
      <c r="G24" s="16"/>
      <c r="H24" s="16"/>
      <c r="I24" s="16"/>
      <c r="J24" s="16"/>
      <c r="K24" s="16"/>
      <c r="L24" s="16"/>
      <c r="M24" s="17" t="str">
        <f aca="false">IF(OR(J24="",J24=0),"",L24/J24)</f>
        <v/>
      </c>
      <c r="N24" s="16"/>
      <c r="O24" s="16"/>
      <c r="P24" s="16"/>
      <c r="Q24" s="16"/>
      <c r="R24" s="16"/>
    </row>
    <row r="25" customFormat="false" ht="15" hidden="false" customHeight="false" outlineLevel="0" collapsed="false">
      <c r="A25" s="15" t="n">
        <v>46433</v>
      </c>
      <c r="B25" s="16"/>
      <c r="C25" s="16"/>
      <c r="D25" s="16"/>
      <c r="E25" s="16"/>
      <c r="F25" s="11" t="str">
        <f aca="false">IF(COUNT(B25:E25)=0,"",SUM(B25:E25))</f>
        <v/>
      </c>
      <c r="G25" s="16"/>
      <c r="H25" s="16"/>
      <c r="I25" s="16"/>
      <c r="J25" s="16"/>
      <c r="K25" s="16"/>
      <c r="L25" s="16"/>
      <c r="M25" s="17" t="str">
        <f aca="false">IF(OR(J25="",J25=0),"",L25/J25)</f>
        <v/>
      </c>
      <c r="N25" s="16"/>
      <c r="O25" s="16"/>
      <c r="P25" s="16"/>
      <c r="Q25" s="16"/>
      <c r="R25" s="16"/>
    </row>
    <row r="26" customFormat="false" ht="15" hidden="false" customHeight="false" outlineLevel="0" collapsed="false">
      <c r="A26" s="15" t="n">
        <v>46440</v>
      </c>
      <c r="B26" s="16"/>
      <c r="C26" s="16"/>
      <c r="D26" s="16"/>
      <c r="E26" s="16"/>
      <c r="F26" s="11" t="str">
        <f aca="false">IF(COUNT(B26:E26)=0,"",SUM(B26:E26))</f>
        <v/>
      </c>
      <c r="G26" s="16"/>
      <c r="H26" s="16"/>
      <c r="I26" s="16"/>
      <c r="J26" s="16"/>
      <c r="K26" s="16"/>
      <c r="L26" s="16"/>
      <c r="M26" s="17" t="str">
        <f aca="false">IF(OR(J26="",J26=0),"",L26/J26)</f>
        <v/>
      </c>
      <c r="N26" s="16"/>
      <c r="O26" s="16"/>
      <c r="P26" s="16"/>
      <c r="Q26" s="16"/>
      <c r="R26" s="16"/>
    </row>
    <row r="27" customFormat="false" ht="15" hidden="false" customHeight="false" outlineLevel="0" collapsed="false">
      <c r="A27" s="15" t="n">
        <v>46447</v>
      </c>
      <c r="B27" s="16"/>
      <c r="C27" s="16"/>
      <c r="D27" s="16"/>
      <c r="E27" s="16"/>
      <c r="F27" s="11" t="str">
        <f aca="false">IF(COUNT(B27:E27)=0,"",SUM(B27:E27))</f>
        <v/>
      </c>
      <c r="G27" s="16"/>
      <c r="H27" s="16"/>
      <c r="I27" s="16"/>
      <c r="J27" s="16"/>
      <c r="K27" s="16"/>
      <c r="L27" s="16"/>
      <c r="M27" s="17" t="str">
        <f aca="false">IF(OR(J27="",J27=0),"",L27/J27)</f>
        <v/>
      </c>
      <c r="N27" s="16"/>
      <c r="O27" s="16"/>
      <c r="P27" s="16"/>
      <c r="Q27" s="16"/>
      <c r="R27" s="16"/>
    </row>
    <row r="28" customFormat="false" ht="15" hidden="false" customHeight="false" outlineLevel="0" collapsed="false">
      <c r="A28" s="15" t="n">
        <v>46454</v>
      </c>
      <c r="B28" s="16"/>
      <c r="C28" s="16"/>
      <c r="D28" s="16"/>
      <c r="E28" s="16"/>
      <c r="F28" s="11" t="str">
        <f aca="false">IF(COUNT(B28:E28)=0,"",SUM(B28:E28))</f>
        <v/>
      </c>
      <c r="G28" s="16"/>
      <c r="H28" s="16"/>
      <c r="I28" s="16"/>
      <c r="J28" s="16"/>
      <c r="K28" s="16"/>
      <c r="L28" s="16"/>
      <c r="M28" s="17" t="str">
        <f aca="false">IF(OR(J28="",J28=0),"",L28/J28)</f>
        <v/>
      </c>
      <c r="N28" s="16"/>
      <c r="O28" s="16"/>
      <c r="P28" s="16"/>
      <c r="Q28" s="16"/>
      <c r="R28" s="16"/>
    </row>
    <row r="29" customFormat="false" ht="15" hidden="false" customHeight="false" outlineLevel="0" collapsed="false">
      <c r="A29" s="15" t="n">
        <v>46461</v>
      </c>
      <c r="B29" s="16"/>
      <c r="C29" s="16"/>
      <c r="D29" s="16"/>
      <c r="E29" s="16"/>
      <c r="F29" s="11" t="str">
        <f aca="false">IF(COUNT(B29:E29)=0,"",SUM(B29:E29))</f>
        <v/>
      </c>
      <c r="G29" s="16"/>
      <c r="H29" s="16"/>
      <c r="I29" s="16"/>
      <c r="J29" s="16"/>
      <c r="K29" s="16"/>
      <c r="L29" s="16"/>
      <c r="M29" s="17" t="str">
        <f aca="false">IF(OR(J29="",J29=0),"",L29/J29)</f>
        <v/>
      </c>
      <c r="N29" s="16"/>
      <c r="O29" s="16"/>
      <c r="P29" s="16"/>
      <c r="Q29" s="16"/>
      <c r="R29" s="16"/>
    </row>
    <row r="30" customFormat="false" ht="15" hidden="false" customHeight="false" outlineLevel="0" collapsed="false">
      <c r="A30" s="15" t="n">
        <v>46468</v>
      </c>
      <c r="B30" s="16"/>
      <c r="C30" s="16"/>
      <c r="D30" s="16"/>
      <c r="E30" s="16"/>
      <c r="F30" s="11" t="str">
        <f aca="false">IF(COUNT(B30:E30)=0,"",SUM(B30:E30))</f>
        <v/>
      </c>
      <c r="G30" s="16"/>
      <c r="H30" s="16"/>
      <c r="I30" s="16"/>
      <c r="J30" s="16"/>
      <c r="K30" s="16"/>
      <c r="L30" s="16"/>
      <c r="M30" s="17" t="str">
        <f aca="false">IF(OR(J30="",J30=0),"",L30/J30)</f>
        <v/>
      </c>
      <c r="N30" s="16"/>
      <c r="O30" s="16"/>
      <c r="P30" s="16"/>
      <c r="Q30" s="16"/>
      <c r="R30" s="16"/>
    </row>
    <row r="31" customFormat="false" ht="15" hidden="false" customHeight="false" outlineLevel="0" collapsed="false">
      <c r="A31" s="15" t="n">
        <v>46475</v>
      </c>
      <c r="B31" s="16"/>
      <c r="C31" s="16"/>
      <c r="D31" s="16"/>
      <c r="E31" s="16"/>
      <c r="F31" s="11" t="str">
        <f aca="false">IF(COUNT(B31:E31)=0,"",SUM(B31:E31))</f>
        <v/>
      </c>
      <c r="G31" s="16"/>
      <c r="H31" s="16"/>
      <c r="I31" s="16"/>
      <c r="J31" s="16"/>
      <c r="K31" s="16"/>
      <c r="L31" s="16"/>
      <c r="M31" s="17" t="str">
        <f aca="false">IF(OR(J31="",J31=0),"",L31/J31)</f>
        <v/>
      </c>
      <c r="N31" s="16"/>
      <c r="O31" s="16"/>
      <c r="P31" s="16"/>
      <c r="Q31" s="16"/>
      <c r="R31" s="16"/>
    </row>
  </sheetData>
  <mergeCells count="1">
    <mergeCell ref="A2:R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32"/>
    <col collapsed="false" customWidth="true" hidden="false" outlineLevel="0" max="5" min="5" style="0" width="30"/>
    <col collapsed="false" customWidth="true" hidden="false" outlineLevel="0" max="6" min="6" style="0" width="36"/>
    <col collapsed="false" customWidth="true" hidden="false" outlineLevel="0" max="7" min="7" style="0" width="18"/>
    <col collapsed="false" customWidth="true" hidden="false" outlineLevel="0" max="8" min="8" style="0" width="13"/>
  </cols>
  <sheetData>
    <row r="1" customFormat="false" ht="17.35" hidden="false" customHeight="false" outlineLevel="0" collapsed="false">
      <c r="A1" s="1" t="s">
        <v>225</v>
      </c>
    </row>
    <row r="2" customFormat="false" ht="30" hidden="false" customHeight="true" outlineLevel="0" collapsed="false">
      <c r="A2" s="2" t="s">
        <v>226</v>
      </c>
      <c r="B2" s="2"/>
      <c r="C2" s="2"/>
      <c r="D2" s="2"/>
      <c r="E2" s="2"/>
      <c r="F2" s="2"/>
      <c r="G2" s="2"/>
      <c r="H2" s="2"/>
    </row>
    <row r="4" customFormat="false" ht="23.85" hidden="false" customHeight="false" outlineLevel="0" collapsed="false">
      <c r="A4" s="3" t="s">
        <v>227</v>
      </c>
      <c r="B4" s="3" t="s">
        <v>228</v>
      </c>
      <c r="C4" s="3" t="s">
        <v>229</v>
      </c>
      <c r="D4" s="3" t="s">
        <v>230</v>
      </c>
      <c r="E4" s="3" t="s">
        <v>231</v>
      </c>
      <c r="F4" s="3" t="s">
        <v>232</v>
      </c>
      <c r="G4" s="3" t="s">
        <v>233</v>
      </c>
      <c r="H4" s="3" t="s">
        <v>234</v>
      </c>
    </row>
    <row r="5" customFormat="false" ht="23.85" hidden="false" customHeight="false" outlineLevel="0" collapsed="false">
      <c r="A5" s="4" t="s">
        <v>235</v>
      </c>
      <c r="B5" s="7" t="n">
        <v>46316</v>
      </c>
      <c r="C5" s="4" t="s">
        <v>236</v>
      </c>
      <c r="D5" s="4" t="s">
        <v>237</v>
      </c>
      <c r="E5" s="4" t="s">
        <v>238</v>
      </c>
      <c r="F5" s="4" t="s">
        <v>239</v>
      </c>
      <c r="G5" s="6"/>
      <c r="H5" s="7"/>
    </row>
    <row r="6" customFormat="false" ht="23.85" hidden="false" customHeight="false" outlineLevel="0" collapsed="false">
      <c r="A6" s="4" t="s">
        <v>240</v>
      </c>
      <c r="B6" s="7" t="n">
        <v>46301</v>
      </c>
      <c r="C6" s="4" t="s">
        <v>241</v>
      </c>
      <c r="D6" s="4" t="s">
        <v>242</v>
      </c>
      <c r="E6" s="4" t="s">
        <v>243</v>
      </c>
      <c r="F6" s="4" t="s">
        <v>244</v>
      </c>
      <c r="G6" s="6"/>
      <c r="H6" s="7"/>
    </row>
    <row r="7" customFormat="false" ht="15" hidden="false" customHeight="false" outlineLevel="0" collapsed="false">
      <c r="A7" s="4" t="s">
        <v>245</v>
      </c>
      <c r="B7" s="7" t="n">
        <v>46266</v>
      </c>
      <c r="C7" s="4" t="s">
        <v>241</v>
      </c>
      <c r="D7" s="4" t="s">
        <v>246</v>
      </c>
      <c r="E7" s="4" t="s">
        <v>247</v>
      </c>
      <c r="F7" s="4" t="s">
        <v>248</v>
      </c>
      <c r="G7" s="6"/>
      <c r="H7" s="7"/>
    </row>
    <row r="8" customFormat="false" ht="23.85" hidden="false" customHeight="false" outlineLevel="0" collapsed="false">
      <c r="A8" s="4" t="s">
        <v>249</v>
      </c>
      <c r="B8" s="7" t="n">
        <v>46266</v>
      </c>
      <c r="C8" s="4" t="s">
        <v>241</v>
      </c>
      <c r="D8" s="4" t="s">
        <v>250</v>
      </c>
      <c r="E8" s="4" t="s">
        <v>251</v>
      </c>
      <c r="F8" s="4" t="s">
        <v>252</v>
      </c>
      <c r="G8" s="6"/>
      <c r="H8" s="7"/>
    </row>
    <row r="9" customFormat="false" ht="15" hidden="false" customHeight="false" outlineLevel="0" collapsed="false">
      <c r="A9" s="4" t="s">
        <v>253</v>
      </c>
      <c r="B9" s="7" t="n">
        <v>46309</v>
      </c>
      <c r="C9" s="4" t="s">
        <v>254</v>
      </c>
      <c r="D9" s="4" t="s">
        <v>255</v>
      </c>
      <c r="E9" s="4" t="s">
        <v>256</v>
      </c>
      <c r="F9" s="4" t="s">
        <v>257</v>
      </c>
      <c r="G9" s="6"/>
      <c r="H9" s="7"/>
    </row>
    <row r="10" customFormat="false" ht="15" hidden="false" customHeight="false" outlineLevel="0" collapsed="false">
      <c r="A10" s="4" t="s">
        <v>258</v>
      </c>
      <c r="B10" s="7" t="n">
        <v>46418</v>
      </c>
      <c r="C10" s="4" t="s">
        <v>241</v>
      </c>
      <c r="D10" s="4" t="s">
        <v>259</v>
      </c>
      <c r="E10" s="4" t="s">
        <v>260</v>
      </c>
      <c r="F10" s="4" t="s">
        <v>261</v>
      </c>
      <c r="G10" s="6"/>
      <c r="H10" s="7"/>
    </row>
  </sheetData>
  <mergeCells count="1">
    <mergeCell ref="A2:H2"/>
  </mergeCells>
  <dataValidations count="1">
    <dataValidation allowBlank="true" errorStyle="stop" operator="between" showDropDown="false" showErrorMessage="false" showInputMessage="false" sqref="G5:G10" type="list">
      <formula1>"go,no-go,nog niet beoordeeld"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44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262</v>
      </c>
    </row>
    <row r="3" customFormat="false" ht="15" hidden="false" customHeight="false" outlineLevel="0" collapsed="false">
      <c r="A3" s="3" t="s">
        <v>263</v>
      </c>
      <c r="B3" s="3" t="s">
        <v>90</v>
      </c>
      <c r="C3" s="3" t="s">
        <v>264</v>
      </c>
    </row>
    <row r="4" customFormat="false" ht="15" hidden="false" customHeight="false" outlineLevel="0" collapsed="false">
      <c r="A4" s="4" t="s">
        <v>265</v>
      </c>
      <c r="B4" s="4" t="s">
        <v>266</v>
      </c>
      <c r="C4" s="4" t="s">
        <v>267</v>
      </c>
    </row>
    <row r="5" customFormat="false" ht="15" hidden="false" customHeight="false" outlineLevel="0" collapsed="false">
      <c r="A5" s="4" t="s">
        <v>268</v>
      </c>
      <c r="B5" s="4" t="s">
        <v>269</v>
      </c>
      <c r="C5" s="4" t="s">
        <v>270</v>
      </c>
    </row>
    <row r="6" customFormat="false" ht="23.85" hidden="false" customHeight="false" outlineLevel="0" collapsed="false">
      <c r="A6" s="4" t="s">
        <v>271</v>
      </c>
      <c r="B6" s="4" t="s">
        <v>272</v>
      </c>
      <c r="C6" s="4" t="s">
        <v>273</v>
      </c>
    </row>
    <row r="7" customFormat="false" ht="15" hidden="false" customHeight="false" outlineLevel="0" collapsed="false">
      <c r="A7" s="4" t="s">
        <v>274</v>
      </c>
      <c r="B7" s="4" t="s">
        <v>275</v>
      </c>
      <c r="C7" s="4" t="s">
        <v>276</v>
      </c>
    </row>
    <row r="8" customFormat="false" ht="23.85" hidden="false" customHeight="false" outlineLevel="0" collapsed="false">
      <c r="A8" s="4" t="s">
        <v>277</v>
      </c>
      <c r="B8" s="4" t="s">
        <v>278</v>
      </c>
      <c r="C8" s="4" t="s">
        <v>279</v>
      </c>
    </row>
    <row r="9" customFormat="false" ht="23.85" hidden="false" customHeight="false" outlineLevel="0" collapsed="false">
      <c r="A9" s="4" t="s">
        <v>280</v>
      </c>
      <c r="B9" s="4" t="s">
        <v>281</v>
      </c>
      <c r="C9" s="4" t="s">
        <v>282</v>
      </c>
    </row>
    <row r="10" customFormat="false" ht="15" hidden="false" customHeight="false" outlineLevel="0" collapsed="false">
      <c r="A10" s="4" t="s">
        <v>283</v>
      </c>
      <c r="B10" s="4" t="s">
        <v>284</v>
      </c>
      <c r="C10" s="4" t="s">
        <v>285</v>
      </c>
    </row>
    <row r="11" customFormat="false" ht="15" hidden="false" customHeight="false" outlineLevel="0" collapsed="false">
      <c r="A11" s="4" t="s">
        <v>286</v>
      </c>
      <c r="B11" s="4" t="s">
        <v>287</v>
      </c>
      <c r="C11" s="4" t="s">
        <v>288</v>
      </c>
    </row>
    <row r="12" customFormat="false" ht="15" hidden="false" customHeight="false" outlineLevel="0" collapsed="false">
      <c r="A12" s="4" t="s">
        <v>289</v>
      </c>
      <c r="B12" s="4" t="s">
        <v>290</v>
      </c>
      <c r="C12" s="4" t="s">
        <v>291</v>
      </c>
    </row>
    <row r="13" customFormat="false" ht="15" hidden="false" customHeight="false" outlineLevel="0" collapsed="false">
      <c r="A13" s="4" t="s">
        <v>292</v>
      </c>
      <c r="B13" s="4" t="s">
        <v>293</v>
      </c>
      <c r="C13" s="4" t="s">
        <v>294</v>
      </c>
    </row>
    <row r="14" customFormat="false" ht="23.85" hidden="false" customHeight="false" outlineLevel="0" collapsed="false">
      <c r="A14" s="4" t="s">
        <v>295</v>
      </c>
      <c r="B14" s="4" t="s">
        <v>296</v>
      </c>
      <c r="C14" s="4" t="s">
        <v>297</v>
      </c>
    </row>
    <row r="15" customFormat="false" ht="15" hidden="false" customHeight="false" outlineLevel="0" collapsed="false">
      <c r="A15" s="4" t="s">
        <v>298</v>
      </c>
      <c r="B15" s="4" t="s">
        <v>299</v>
      </c>
      <c r="C15" s="4" t="s">
        <v>300</v>
      </c>
    </row>
    <row r="16" customFormat="false" ht="15" hidden="false" customHeight="false" outlineLevel="0" collapsed="false">
      <c r="A16" s="4" t="s">
        <v>301</v>
      </c>
      <c r="B16" s="4" t="s">
        <v>302</v>
      </c>
      <c r="C16" s="4" t="s">
        <v>303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304</v>
      </c>
    </row>
    <row r="3" customFormat="false" ht="39.75" hidden="false" customHeight="true" outlineLevel="0" collapsed="false">
      <c r="A3" s="12" t="s">
        <v>305</v>
      </c>
      <c r="B3" s="13" t="s">
        <v>306</v>
      </c>
    </row>
    <row r="4" customFormat="false" ht="39.75" hidden="false" customHeight="true" outlineLevel="0" collapsed="false">
      <c r="A4" s="12" t="s">
        <v>7</v>
      </c>
      <c r="B4" s="13" t="s">
        <v>307</v>
      </c>
    </row>
    <row r="5" customFormat="false" ht="39.75" hidden="false" customHeight="true" outlineLevel="0" collapsed="false">
      <c r="A5" s="12" t="s">
        <v>308</v>
      </c>
      <c r="B5" s="13" t="s">
        <v>309</v>
      </c>
    </row>
    <row r="6" customFormat="false" ht="39.75" hidden="false" customHeight="true" outlineLevel="0" collapsed="false">
      <c r="A6" s="12" t="s">
        <v>9</v>
      </c>
      <c r="B6" s="13" t="s">
        <v>310</v>
      </c>
    </row>
    <row r="7" customFormat="false" ht="39.75" hidden="false" customHeight="true" outlineLevel="0" collapsed="false">
      <c r="A7" s="12" t="s">
        <v>311</v>
      </c>
      <c r="B7" s="13" t="s">
        <v>312</v>
      </c>
    </row>
    <row r="8" customFormat="false" ht="39.75" hidden="false" customHeight="true" outlineLevel="0" collapsed="false">
      <c r="A8" s="12" t="s">
        <v>313</v>
      </c>
      <c r="B8" s="13" t="s">
        <v>314</v>
      </c>
    </row>
    <row r="9" customFormat="false" ht="39.75" hidden="false" customHeight="true" outlineLevel="0" collapsed="false">
      <c r="A9" s="12" t="s">
        <v>315</v>
      </c>
      <c r="B9" s="13" t="s">
        <v>316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2026-10-01T10:08:59Z</dcterms:created>
  <dc:creator>openpyxl</dc:creator>
  <dc:description/>
  <dc:language>en-US</dc:language>
  <cp:lastModifiedBy/>
  <dcterms:modified xsi:type="dcterms:W3CDTF">2026-10-01T10:08:59Z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